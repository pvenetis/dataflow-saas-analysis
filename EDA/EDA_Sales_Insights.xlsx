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drawings/drawing6.xml" ContentType="application/vnd.openxmlformats-officedocument.drawing+xml"/>
  <Override PartName="/xl/tables/table7.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tables/table8.xml" ContentType="application/vnd.openxmlformats-officedocument.spreadsheetml.table+xml"/>
  <Override PartName="/xl/queryTables/queryTable7.xml" ContentType="application/vnd.openxmlformats-officedocument.spreadsheetml.queryTable+xml"/>
  <Override PartName="/xl/drawings/drawing8.xml" ContentType="application/vnd.openxmlformats-officedocument.drawing+xml"/>
  <Override PartName="/xl/tables/table9.xml" ContentType="application/vnd.openxmlformats-officedocument.spreadsheetml.table+xml"/>
  <Override PartName="/xl/queryTables/queryTable8.xml" ContentType="application/vnd.openxmlformats-officedocument.spreadsheetml.query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10.xml" ContentType="application/vnd.openxmlformats-officedocument.spreadsheetml.table+xml"/>
  <Override PartName="/xl/queryTables/queryTable9.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venet\Desktop\RESUME PROJECTS\Proj\EDA\"/>
    </mc:Choice>
  </mc:AlternateContent>
  <xr:revisionPtr revIDLastSave="0" documentId="13_ncr:1_{5F971067-94DB-41F9-A55E-BC44F5EACFF2}" xr6:coauthVersionLast="47" xr6:coauthVersionMax="47" xr10:uidLastSave="{00000000-0000-0000-0000-000000000000}"/>
  <bookViews>
    <workbookView xWindow="-120" yWindow="-120" windowWidth="30960" windowHeight="16920" tabRatio="815" xr2:uid="{00000000-000D-0000-FFFF-FFFF00000000}"/>
  </bookViews>
  <sheets>
    <sheet name="Monthly Revenue Trend" sheetId="14" r:id="rId1"/>
    <sheet name="Revenue by Product" sheetId="4" r:id="rId2"/>
    <sheet name="Product performance summary" sheetId="11" r:id="rId3"/>
    <sheet name="Revenue by Region" sheetId="6" r:id="rId4"/>
    <sheet name="Top Product per Region" sheetId="7" r:id="rId5"/>
    <sheet name="Seasonal Revenue Summary" sheetId="8" r:id="rId6"/>
    <sheet name="Region and Loyalty Agg" sheetId="12" r:id="rId7"/>
    <sheet name="Refund Rate by Region" sheetId="9" r:id="rId8"/>
    <sheet name="Avg Shipping &amp; Delivery Time" sheetId="10" r:id="rId9"/>
  </sheets>
  <definedNames>
    <definedName name="ExternalData_1" localSheetId="8" hidden="1">'Avg Shipping &amp; Delivery Time'!$A$1:$B$2</definedName>
    <definedName name="ExternalData_1" localSheetId="0" hidden="1">'Monthly Revenue Trend'!$A$1:$E$47</definedName>
    <definedName name="ExternalData_1" localSheetId="2" hidden="1">'Product performance summary'!$A$1:$F$11</definedName>
    <definedName name="ExternalData_1" localSheetId="7" hidden="1">'Refund Rate by Region'!$A$1:$C$6</definedName>
    <definedName name="ExternalData_1" localSheetId="6" hidden="1">'Region and Loyalty Agg'!$A$1:$G$11</definedName>
    <definedName name="ExternalData_1" localSheetId="1" hidden="1">'Revenue by Product'!$A$1:$B$11</definedName>
    <definedName name="ExternalData_1" localSheetId="3" hidden="1">'Revenue by Region'!$A$1:$C$6</definedName>
    <definedName name="ExternalData_1" localSheetId="5" hidden="1">'Seasonal Revenue Summary'!$A$1:$B$6</definedName>
    <definedName name="ExternalData_1" localSheetId="4" hidden="1">'Top Product per Region'!$A$1:$D$11</definedName>
    <definedName name="Slicer_year">#N/A</definedName>
    <definedName name="Slicer_year1">#N/A</definedName>
  </definedNames>
  <calcPr calcId="181029"/>
  <pivotCaches>
    <pivotCache cacheId="5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7" l="1"/>
  <c r="E3" i="7"/>
  <c r="E4" i="7"/>
  <c r="E5" i="7"/>
  <c r="E6" i="7"/>
  <c r="E7" i="7"/>
  <c r="E8" i="7"/>
  <c r="E9" i="7"/>
  <c r="E10" i="7"/>
  <c r="E1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C5D072-06EC-4357-AB27-50B8B9D62098}" keepAlive="1" name="Query - Avg Shipping &amp; Delivery Time" description="Connection to the 'Avg Shipping &amp; Delivery Time' query in the workbook." type="5" refreshedVersion="8" background="1" saveData="1">
    <dbPr connection="Provider=Microsoft.Mashup.OleDb.1;Data Source=$Workbook$;Location=&quot;Avg Shipping &amp; Delivery Time&quot;;Extended Properties=&quot;&quot;" command="SELECT * FROM [Avg Shipping &amp; Delivery Time]"/>
  </connection>
  <connection id="2" xr16:uid="{4349A767-1740-49A2-BD5E-08CCF2E6BDC3}" keepAlive="1" name="Query - Monthly Revenue Trend" description="Connection to the 'Monthly Revenue Trend' query in the workbook." type="5" refreshedVersion="8" background="1" saveData="1">
    <dbPr connection="Provider=Microsoft.Mashup.OleDb.1;Data Source=$Workbook$;Location=&quot;Monthly Revenue Trend&quot;;Extended Properties=&quot;&quot;" command="SELECT * FROM [Monthly Revenue Trend]"/>
  </connection>
  <connection id="3" xr16:uid="{28D03228-42E5-4C8A-847D-B17A66A10289}" keepAlive="1" name="Query - Product-level performance summary" description="Connection to the 'Product-level performance summary' query in the workbook." type="5" refreshedVersion="8" background="1" saveData="1">
    <dbPr connection="Provider=Microsoft.Mashup.OleDb.1;Data Source=$Workbook$;Location=&quot;Product-level performance summary&quot;;Extended Properties=&quot;&quot;" command="SELECT * FROM [Product-level performance summary]"/>
  </connection>
  <connection id="4" xr16:uid="{EE63DAAD-007D-452C-846B-3BEA99DCF0FA}" keepAlive="1" name="Query - Refund by Region &amp; Loyalty" description="Connection to the 'Refund by Region &amp; Loyalty' query in the workbook." type="5" refreshedVersion="8" background="1" saveData="1">
    <dbPr connection="Provider=Microsoft.Mashup.OleDb.1;Data Source=$Workbook$;Location=&quot;Refund by Region &amp; Loyalty&quot;;Extended Properties=&quot;&quot;" command="SELECT * FROM [Refund by Region &amp; Loyalty]"/>
  </connection>
  <connection id="5" xr16:uid="{809AAD4B-6A2F-4E52-8593-CD2D872857F4}" keepAlive="1" name="Query - Refund Rate by Region" description="Connection to the 'Refund Rate by Region' query in the workbook." type="5" refreshedVersion="8" background="1" saveData="1">
    <dbPr connection="Provider=Microsoft.Mashup.OleDb.1;Data Source=$Workbook$;Location=&quot;Refund Rate by Region&quot;;Extended Properties=&quot;&quot;" command="SELECT * FROM [Refund Rate by Region]"/>
  </connection>
  <connection id="6" xr16:uid="{B266018E-FA9B-44C8-939F-F774B9E41564}" keepAlive="1" name="Query - Revenue By Product" description="Connection to the 'Revenue By Product' query in the workbook." type="5" refreshedVersion="8" background="1" saveData="1">
    <dbPr connection="Provider=Microsoft.Mashup.OleDb.1;Data Source=$Workbook$;Location=&quot;Revenue By Product&quot;;Extended Properties=&quot;&quot;" command="SELECT * FROM [Revenue By Product]"/>
  </connection>
  <connection id="7" xr16:uid="{EBEE6733-D26D-4928-84B9-34FA909D6264}" keepAlive="1" name="Query - Revenue By Region" description="Connection to the 'Revenue By Region' query in the workbook." type="5" refreshedVersion="8" background="1" saveData="1">
    <dbPr connection="Provider=Microsoft.Mashup.OleDb.1;Data Source=$Workbook$;Location=&quot;Revenue By Region&quot;;Extended Properties=&quot;&quot;" command="SELECT * FROM [Revenue By Region]"/>
  </connection>
  <connection id="8" xr16:uid="{887473D6-A67C-4936-8839-2064FC2D130B}" keepAlive="1" name="Query - Seasonal Revenue Summary" description="Connection to the 'Seasonal Revenue Summary' query in the workbook." type="5" refreshedVersion="8" background="1" saveData="1">
    <dbPr connection="Provider=Microsoft.Mashup.OleDb.1;Data Source=$Workbook$;Location=&quot;Seasonal Revenue Summary&quot;;Extended Properties=&quot;&quot;" command="SELECT * FROM [Seasonal Revenue Summary]"/>
  </connection>
  <connection id="9" xr16:uid="{A14D2159-23B9-4789-AB17-9C78620FA269}" keepAlive="1" name="Query - Top Product per Region" description="Connection to the 'Top Product per Region' query in the workbook." type="5" refreshedVersion="8" background="1" saveData="1">
    <dbPr connection="Provider=Microsoft.Mashup.OleDb.1;Data Source=$Workbook$;Location=&quot;Top Product per Region&quot;;Extended Properties=&quot;&quot;" command="SELECT * FROM [Top Product per Region]"/>
  </connection>
  <connection id="10" xr16:uid="{452E3928-5EDA-4D5A-B723-C1DF19B8EDB6}" keepAlive="1" name="Query - Top Product per Region (2)" description="Connection to the 'Top Product per Region (2)' query in the workbook." type="5" refreshedVersion="8" background="1" saveData="1">
    <dbPr connection="Provider=Microsoft.Mashup.OleDb.1;Data Source=$Workbook$;Location=&quot;Top Product per Region (2)&quot;;Extended Properties=&quot;&quot;" command="SELECT * FROM [Top Product per Region (2)]"/>
  </connection>
</connections>
</file>

<file path=xl/sharedStrings.xml><?xml version="1.0" encoding="utf-8"?>
<sst xmlns="http://schemas.openxmlformats.org/spreadsheetml/2006/main" count="295" uniqueCount="69">
  <si>
    <t>year</t>
  </si>
  <si>
    <t>month</t>
  </si>
  <si>
    <t>total_revenue</t>
  </si>
  <si>
    <t>January</t>
  </si>
  <si>
    <t>February</t>
  </si>
  <si>
    <t>March</t>
  </si>
  <si>
    <t>April</t>
  </si>
  <si>
    <t>May</t>
  </si>
  <si>
    <t>June</t>
  </si>
  <si>
    <t>July</t>
  </si>
  <si>
    <t>August</t>
  </si>
  <si>
    <t>September</t>
  </si>
  <si>
    <t>October</t>
  </si>
  <si>
    <t>November</t>
  </si>
  <si>
    <t>December</t>
  </si>
  <si>
    <t>product_name</t>
  </si>
  <si>
    <t>Enterprise Plan</t>
  </si>
  <si>
    <t>Pro Plan</t>
  </si>
  <si>
    <t>API Access</t>
  </si>
  <si>
    <t>AI Insights</t>
  </si>
  <si>
    <t>Starter Plan</t>
  </si>
  <si>
    <t>CRM Module</t>
  </si>
  <si>
    <t>Data Analytics Add-on</t>
  </si>
  <si>
    <t>Cloud Storage Add-on</t>
  </si>
  <si>
    <t>Security Suite</t>
  </si>
  <si>
    <t>Email Automation</t>
  </si>
  <si>
    <t>region</t>
  </si>
  <si>
    <t>total_orders</t>
  </si>
  <si>
    <t>Europe</t>
  </si>
  <si>
    <t>Americas</t>
  </si>
  <si>
    <t>Africa</t>
  </si>
  <si>
    <t>Asia</t>
  </si>
  <si>
    <t>Oceania</t>
  </si>
  <si>
    <t>count_rank</t>
  </si>
  <si>
    <t>revenue_rank</t>
  </si>
  <si>
    <t>season</t>
  </si>
  <si>
    <t>Summer</t>
  </si>
  <si>
    <t>Spring</t>
  </si>
  <si>
    <t>Holiday</t>
  </si>
  <si>
    <t>Fall</t>
  </si>
  <si>
    <t>Winter</t>
  </si>
  <si>
    <t>total_refunds</t>
  </si>
  <si>
    <t>avg_ship_days</t>
  </si>
  <si>
    <t>avg_delivery_days</t>
  </si>
  <si>
    <t>refund_rate_pct (%)</t>
  </si>
  <si>
    <t>Region</t>
  </si>
  <si>
    <t>Metric</t>
  </si>
  <si>
    <t>Top Product (Revenue)</t>
  </si>
  <si>
    <t>Top Product (Orders)</t>
  </si>
  <si>
    <t>Products</t>
  </si>
  <si>
    <t>Product Slicer</t>
  </si>
  <si>
    <t>revenue</t>
  </si>
  <si>
    <t>revenue_pct</t>
  </si>
  <si>
    <t>AOV</t>
  </si>
  <si>
    <t>order_count</t>
  </si>
  <si>
    <t>refund_rate_pct</t>
  </si>
  <si>
    <t>loyalty_program</t>
  </si>
  <si>
    <t>customers</t>
  </si>
  <si>
    <t>refund_count</t>
  </si>
  <si>
    <t>0</t>
  </si>
  <si>
    <t>1</t>
  </si>
  <si>
    <t>Grand Total</t>
  </si>
  <si>
    <t>Sum of total_revenue</t>
  </si>
  <si>
    <t>avg_order_value</t>
  </si>
  <si>
    <t>Sum of avg_order_value</t>
  </si>
  <si>
    <t>2022 Total</t>
  </si>
  <si>
    <t>2023 Total</t>
  </si>
  <si>
    <t>2024 Total</t>
  </si>
  <si>
    <t>2025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</si>
</sst>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rgb="FFA5A5A5"/>
      </patternFill>
    </fill>
    <fill>
      <patternFill patternType="solid">
        <fgColor rgb="FF002060"/>
        <bgColor indexed="64"/>
      </patternFill>
    </fill>
    <fill>
      <patternFill patternType="solid">
        <fgColor theme="4" tint="0.39997558519241921"/>
        <bgColor indexed="64"/>
      </patternFill>
    </fill>
    <fill>
      <patternFill patternType="solid">
        <fgColor rgb="FFFFC000"/>
        <bgColor indexed="64"/>
      </patternFill>
    </fill>
  </fills>
  <borders count="19">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2" borderId="1" applyNumberFormat="0" applyAlignment="0" applyProtection="0"/>
  </cellStyleXfs>
  <cellXfs count="41">
    <xf numFmtId="0" fontId="0" fillId="0" borderId="0" xfId="0"/>
    <xf numFmtId="1" fontId="0" fillId="0" borderId="0" xfId="0" applyNumberFormat="1"/>
    <xf numFmtId="0" fontId="3" fillId="0" borderId="0" xfId="0" applyFont="1"/>
    <xf numFmtId="0" fontId="2" fillId="3" borderId="2" xfId="1" applyFill="1" applyBorder="1"/>
    <xf numFmtId="0" fontId="0" fillId="0" borderId="2" xfId="0" applyBorder="1"/>
    <xf numFmtId="3" fontId="0" fillId="0" borderId="0" xfId="0" applyNumberFormat="1"/>
    <xf numFmtId="0" fontId="0" fillId="0" borderId="0" xfId="0" applyNumberFormat="1"/>
    <xf numFmtId="0" fontId="0" fillId="0" borderId="3"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2" xfId="0" applyNumberFormat="1" applyBorder="1"/>
    <xf numFmtId="0" fontId="0" fillId="0" borderId="7"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0" fillId="0" borderId="8" xfId="0" applyBorder="1"/>
    <xf numFmtId="3" fontId="0" fillId="0" borderId="2" xfId="0" applyNumberFormat="1" applyBorder="1"/>
    <xf numFmtId="3" fontId="0" fillId="0" borderId="9" xfId="0" applyNumberFormat="1" applyBorder="1"/>
    <xf numFmtId="0" fontId="0" fillId="0" borderId="0" xfId="0" pivotButton="1"/>
    <xf numFmtId="3" fontId="0" fillId="0" borderId="4" xfId="0" applyNumberFormat="1" applyBorder="1"/>
    <xf numFmtId="3" fontId="0" fillId="0" borderId="5" xfId="0" applyNumberFormat="1" applyBorder="1"/>
    <xf numFmtId="3" fontId="0" fillId="0" borderId="7" xfId="0" applyNumberFormat="1" applyBorder="1"/>
    <xf numFmtId="0" fontId="0" fillId="0" borderId="6" xfId="0" applyBorder="1"/>
    <xf numFmtId="3" fontId="0" fillId="0" borderId="10" xfId="0" applyNumberFormat="1" applyBorder="1"/>
    <xf numFmtId="0" fontId="0" fillId="4" borderId="2" xfId="0" applyNumberFormat="1" applyFill="1" applyBorder="1"/>
    <xf numFmtId="0" fontId="0" fillId="5" borderId="2" xfId="0" applyNumberFormat="1" applyFill="1" applyBorder="1"/>
    <xf numFmtId="0" fontId="0" fillId="0" borderId="11" xfId="0" applyNumberFormat="1" applyBorder="1"/>
    <xf numFmtId="0" fontId="0" fillId="5" borderId="12" xfId="0" applyNumberFormat="1" applyFill="1" applyBorder="1"/>
    <xf numFmtId="0" fontId="0" fillId="0" borderId="12" xfId="0" applyNumberFormat="1" applyBorder="1"/>
    <xf numFmtId="3" fontId="0" fillId="0" borderId="12" xfId="0" applyNumberFormat="1" applyBorder="1"/>
    <xf numFmtId="0" fontId="0" fillId="0" borderId="13" xfId="0" applyNumberFormat="1" applyBorder="1"/>
    <xf numFmtId="0" fontId="0" fillId="0" borderId="14" xfId="0" applyNumberFormat="1" applyBorder="1"/>
    <xf numFmtId="0" fontId="0" fillId="0" borderId="15" xfId="0" applyNumberFormat="1" applyBorder="1"/>
    <xf numFmtId="0" fontId="0" fillId="0" borderId="16" xfId="0" applyNumberFormat="1" applyBorder="1"/>
    <xf numFmtId="0" fontId="0" fillId="5" borderId="17" xfId="0" applyNumberFormat="1" applyFill="1" applyBorder="1"/>
    <xf numFmtId="0" fontId="0" fillId="0" borderId="17" xfId="0" applyNumberFormat="1" applyBorder="1"/>
    <xf numFmtId="3" fontId="0" fillId="0" borderId="17" xfId="0" applyNumberFormat="1" applyBorder="1"/>
    <xf numFmtId="0" fontId="0" fillId="0" borderId="18" xfId="0" applyNumberFormat="1" applyBorder="1"/>
    <xf numFmtId="0" fontId="0" fillId="4" borderId="12" xfId="0" applyNumberFormat="1" applyFill="1" applyBorder="1"/>
    <xf numFmtId="0" fontId="0" fillId="4" borderId="17" xfId="0" applyNumberFormat="1" applyFill="1" applyBorder="1"/>
  </cellXfs>
  <cellStyles count="2">
    <cellStyle name="Check Cell" xfId="1" builtinId="23"/>
    <cellStyle name="Normal" xfId="0" builtinId="0"/>
  </cellStyles>
  <dxfs count="48">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3" formatCode="#,##0"/>
      <border diagonalUp="0" diagonalDown="0">
        <left style="thin">
          <color indexed="64"/>
        </left>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font>
    </dxf>
    <dxf>
      <numFmt numFmtId="0" formatCode="General"/>
    </dxf>
    <dxf>
      <numFmt numFmtId="0" formatCode="General"/>
    </dxf>
    <dxf>
      <numFmt numFmtId="0" formatCode="General"/>
    </dxf>
    <dxf>
      <numFmt numFmtId="0" formatCode="General"/>
    </dxf>
    <dxf>
      <numFmt numFmtId="0" formatCode="General"/>
    </dxf>
    <dxf>
      <numFmt numFmtId="3"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[EDA_Sales_Insights.xlsx]Monthly Revenue Trend!PivotTable11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Revenue by Month (2022-2025)</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3"/>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round/>
          </a:ln>
          <a:effectLst/>
        </c:spPr>
        <c:marker>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Trend'!$I$1</c:f>
              <c:strCache>
                <c:ptCount val="1"/>
                <c:pt idx="0">
                  <c:v>Total</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multiLvlStrRef>
              <c:f>'Monthly Revenue Trend'!$G$2:$H$52</c:f>
              <c:multiLvlStrCache>
                <c:ptCount val="4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lvl>
                <c:lvl>
                  <c:pt idx="0">
                    <c:v>2022</c:v>
                  </c:pt>
                  <c:pt idx="12">
                    <c:v>2023</c:v>
                  </c:pt>
                  <c:pt idx="24">
                    <c:v>2024</c:v>
                  </c:pt>
                  <c:pt idx="36">
                    <c:v>2025</c:v>
                  </c:pt>
                </c:lvl>
              </c:multiLvlStrCache>
            </c:multiLvlStrRef>
          </c:cat>
          <c:val>
            <c:numRef>
              <c:f>'Monthly Revenue Trend'!$I$2:$I$52</c:f>
              <c:numCache>
                <c:formatCode>#,##0</c:formatCode>
                <c:ptCount val="46"/>
                <c:pt idx="0">
                  <c:v>462462.13</c:v>
                </c:pt>
                <c:pt idx="1">
                  <c:v>409382.56</c:v>
                </c:pt>
                <c:pt idx="2">
                  <c:v>614311.19999999995</c:v>
                </c:pt>
                <c:pt idx="3">
                  <c:v>550466.68999999994</c:v>
                </c:pt>
                <c:pt idx="4">
                  <c:v>594628.65</c:v>
                </c:pt>
                <c:pt idx="5">
                  <c:v>819317.41</c:v>
                </c:pt>
                <c:pt idx="6">
                  <c:v>781884.6</c:v>
                </c:pt>
                <c:pt idx="7">
                  <c:v>820504.39</c:v>
                </c:pt>
                <c:pt idx="8">
                  <c:v>557242.93000000005</c:v>
                </c:pt>
                <c:pt idx="9">
                  <c:v>567099.48</c:v>
                </c:pt>
                <c:pt idx="10">
                  <c:v>1005327.71</c:v>
                </c:pt>
                <c:pt idx="11">
                  <c:v>1120755.8</c:v>
                </c:pt>
                <c:pt idx="12">
                  <c:v>538990.9</c:v>
                </c:pt>
                <c:pt idx="13">
                  <c:v>506785.8</c:v>
                </c:pt>
                <c:pt idx="14">
                  <c:v>631628.81000000006</c:v>
                </c:pt>
                <c:pt idx="15">
                  <c:v>639920.36</c:v>
                </c:pt>
                <c:pt idx="16">
                  <c:v>644113.75</c:v>
                </c:pt>
                <c:pt idx="17">
                  <c:v>886985.49</c:v>
                </c:pt>
                <c:pt idx="18">
                  <c:v>869207.87</c:v>
                </c:pt>
                <c:pt idx="19">
                  <c:v>887811.45</c:v>
                </c:pt>
                <c:pt idx="20">
                  <c:v>620975.51</c:v>
                </c:pt>
                <c:pt idx="21">
                  <c:v>669739.97</c:v>
                </c:pt>
                <c:pt idx="22">
                  <c:v>1119359.47</c:v>
                </c:pt>
                <c:pt idx="23">
                  <c:v>1190646.2</c:v>
                </c:pt>
                <c:pt idx="24">
                  <c:v>573119.04</c:v>
                </c:pt>
                <c:pt idx="25">
                  <c:v>512687.32</c:v>
                </c:pt>
                <c:pt idx="26">
                  <c:v>722755.8</c:v>
                </c:pt>
                <c:pt idx="27">
                  <c:v>652142.25</c:v>
                </c:pt>
                <c:pt idx="28">
                  <c:v>677333.43</c:v>
                </c:pt>
                <c:pt idx="29">
                  <c:v>946033.07</c:v>
                </c:pt>
                <c:pt idx="30">
                  <c:v>945777.89</c:v>
                </c:pt>
                <c:pt idx="31">
                  <c:v>941870.21</c:v>
                </c:pt>
                <c:pt idx="32">
                  <c:v>689517.59</c:v>
                </c:pt>
                <c:pt idx="33">
                  <c:v>712716.88</c:v>
                </c:pt>
                <c:pt idx="34">
                  <c:v>1275352.48</c:v>
                </c:pt>
                <c:pt idx="35">
                  <c:v>1347620.85</c:v>
                </c:pt>
                <c:pt idx="36">
                  <c:v>625505.86</c:v>
                </c:pt>
                <c:pt idx="37">
                  <c:v>575455.94999999995</c:v>
                </c:pt>
                <c:pt idx="38">
                  <c:v>764661.14</c:v>
                </c:pt>
                <c:pt idx="39">
                  <c:v>721737.11</c:v>
                </c:pt>
                <c:pt idx="40">
                  <c:v>775040.1</c:v>
                </c:pt>
                <c:pt idx="41">
                  <c:v>1014791.4</c:v>
                </c:pt>
                <c:pt idx="42">
                  <c:v>1073066.8999999999</c:v>
                </c:pt>
                <c:pt idx="43">
                  <c:v>1032113.03</c:v>
                </c:pt>
                <c:pt idx="44">
                  <c:v>746720.35</c:v>
                </c:pt>
                <c:pt idx="45">
                  <c:v>24521.09</c:v>
                </c:pt>
              </c:numCache>
            </c:numRef>
          </c:val>
          <c:smooth val="0"/>
          <c:extLst>
            <c:ext xmlns:c16="http://schemas.microsoft.com/office/drawing/2014/chart" uri="{C3380CC4-5D6E-409C-BE32-E72D297353CC}">
              <c16:uniqueId val="{00000000-CFAE-4B3E-83FC-A86C937BCC57}"/>
            </c:ext>
          </c:extLst>
        </c:ser>
        <c:dLbls>
          <c:showLegendKey val="0"/>
          <c:showVal val="0"/>
          <c:showCatName val="0"/>
          <c:showSerName val="0"/>
          <c:showPercent val="0"/>
          <c:showBubbleSize val="0"/>
        </c:dLbls>
        <c:marker val="1"/>
        <c:smooth val="0"/>
        <c:axId val="470619104"/>
        <c:axId val="470617664"/>
      </c:lineChart>
      <c:catAx>
        <c:axId val="4706191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70617664"/>
        <c:crosses val="autoZero"/>
        <c:auto val="1"/>
        <c:lblAlgn val="ctr"/>
        <c:lblOffset val="100"/>
        <c:noMultiLvlLbl val="0"/>
      </c:catAx>
      <c:valAx>
        <c:axId val="4706176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706191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[EDA_Sales_Insights.xlsx]Monthly Revenue Trend!PivotTable17</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Order Value (AOV) by Month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Trend'!$I$57</c:f>
              <c:strCache>
                <c:ptCount val="1"/>
                <c:pt idx="0">
                  <c:v>Total</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cat>
            <c:multiLvlStrRef>
              <c:f>'Monthly Revenue Trend'!$G$58:$H$108</c:f>
              <c:multiLvlStrCache>
                <c:ptCount val="4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lvl>
                <c:lvl>
                  <c:pt idx="0">
                    <c:v>2022</c:v>
                  </c:pt>
                  <c:pt idx="12">
                    <c:v>2023</c:v>
                  </c:pt>
                  <c:pt idx="24">
                    <c:v>2024</c:v>
                  </c:pt>
                  <c:pt idx="36">
                    <c:v>2025</c:v>
                  </c:pt>
                </c:lvl>
              </c:multiLvlStrCache>
            </c:multiLvlStrRef>
          </c:cat>
          <c:val>
            <c:numRef>
              <c:f>'Monthly Revenue Trend'!$I$58:$I$108</c:f>
              <c:numCache>
                <c:formatCode>#,##0</c:formatCode>
                <c:ptCount val="46"/>
                <c:pt idx="0">
                  <c:v>180.02</c:v>
                </c:pt>
                <c:pt idx="1">
                  <c:v>183.01</c:v>
                </c:pt>
                <c:pt idx="2">
                  <c:v>231.55</c:v>
                </c:pt>
                <c:pt idx="3">
                  <c:v>221.25</c:v>
                </c:pt>
                <c:pt idx="4">
                  <c:v>226.7</c:v>
                </c:pt>
                <c:pt idx="5">
                  <c:v>325.89999999999998</c:v>
                </c:pt>
                <c:pt idx="6">
                  <c:v>314.77</c:v>
                </c:pt>
                <c:pt idx="7">
                  <c:v>315.33999999999997</c:v>
                </c:pt>
                <c:pt idx="8">
                  <c:v>224.6</c:v>
                </c:pt>
                <c:pt idx="9">
                  <c:v>225.4</c:v>
                </c:pt>
                <c:pt idx="10">
                  <c:v>417.67</c:v>
                </c:pt>
                <c:pt idx="11">
                  <c:v>434.91</c:v>
                </c:pt>
                <c:pt idx="12">
                  <c:v>204.94</c:v>
                </c:pt>
                <c:pt idx="13">
                  <c:v>210.46</c:v>
                </c:pt>
                <c:pt idx="14">
                  <c:v>251.14</c:v>
                </c:pt>
                <c:pt idx="15">
                  <c:v>248.61</c:v>
                </c:pt>
                <c:pt idx="16">
                  <c:v>247.83</c:v>
                </c:pt>
                <c:pt idx="17">
                  <c:v>348.38</c:v>
                </c:pt>
                <c:pt idx="18">
                  <c:v>341.94</c:v>
                </c:pt>
                <c:pt idx="19">
                  <c:v>351.05</c:v>
                </c:pt>
                <c:pt idx="20">
                  <c:v>249.09</c:v>
                </c:pt>
                <c:pt idx="21">
                  <c:v>251.31</c:v>
                </c:pt>
                <c:pt idx="22">
                  <c:v>463.69</c:v>
                </c:pt>
                <c:pt idx="23">
                  <c:v>463.29</c:v>
                </c:pt>
                <c:pt idx="24">
                  <c:v>220.26</c:v>
                </c:pt>
                <c:pt idx="25">
                  <c:v>217.7</c:v>
                </c:pt>
                <c:pt idx="26">
                  <c:v>277.77</c:v>
                </c:pt>
                <c:pt idx="27">
                  <c:v>266.51</c:v>
                </c:pt>
                <c:pt idx="28">
                  <c:v>268.04000000000002</c:v>
                </c:pt>
                <c:pt idx="29">
                  <c:v>374.22</c:v>
                </c:pt>
                <c:pt idx="30">
                  <c:v>373.24</c:v>
                </c:pt>
                <c:pt idx="31">
                  <c:v>373.31</c:v>
                </c:pt>
                <c:pt idx="32">
                  <c:v>269.76</c:v>
                </c:pt>
                <c:pt idx="33">
                  <c:v>271.72000000000003</c:v>
                </c:pt>
                <c:pt idx="34">
                  <c:v>510.96</c:v>
                </c:pt>
                <c:pt idx="35">
                  <c:v>523.35</c:v>
                </c:pt>
                <c:pt idx="36">
                  <c:v>240.95</c:v>
                </c:pt>
                <c:pt idx="37">
                  <c:v>242.09</c:v>
                </c:pt>
                <c:pt idx="38">
                  <c:v>296.5</c:v>
                </c:pt>
                <c:pt idx="39">
                  <c:v>290.91000000000003</c:v>
                </c:pt>
                <c:pt idx="40">
                  <c:v>300.52</c:v>
                </c:pt>
                <c:pt idx="41">
                  <c:v>397.33</c:v>
                </c:pt>
                <c:pt idx="42">
                  <c:v>408.48</c:v>
                </c:pt>
                <c:pt idx="43">
                  <c:v>415</c:v>
                </c:pt>
                <c:pt idx="44">
                  <c:v>296.08</c:v>
                </c:pt>
                <c:pt idx="45">
                  <c:v>314.37</c:v>
                </c:pt>
              </c:numCache>
            </c:numRef>
          </c:val>
          <c:smooth val="0"/>
          <c:extLst>
            <c:ext xmlns:c16="http://schemas.microsoft.com/office/drawing/2014/chart" uri="{C3380CC4-5D6E-409C-BE32-E72D297353CC}">
              <c16:uniqueId val="{00000000-D148-4A54-AB22-C21F6F493F82}"/>
            </c:ext>
          </c:extLst>
        </c:ser>
        <c:dLbls>
          <c:showLegendKey val="0"/>
          <c:showVal val="0"/>
          <c:showCatName val="0"/>
          <c:showSerName val="0"/>
          <c:showPercent val="0"/>
          <c:showBubbleSize val="0"/>
        </c:dLbls>
        <c:marker val="1"/>
        <c:smooth val="0"/>
        <c:axId val="564921312"/>
        <c:axId val="564922392"/>
      </c:lineChart>
      <c:catAx>
        <c:axId val="564921312"/>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Months 2022-2025</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22392"/>
        <c:crosses val="autoZero"/>
        <c:auto val="1"/>
        <c:lblAlgn val="ctr"/>
        <c:lblOffset val="100"/>
        <c:noMultiLvlLbl val="0"/>
      </c:catAx>
      <c:valAx>
        <c:axId val="564922392"/>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AOV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2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Product'!$A$2:$A$11</c:f>
              <c:strCache>
                <c:ptCount val="10"/>
                <c:pt idx="0">
                  <c:v>Enterprise Plan</c:v>
                </c:pt>
                <c:pt idx="1">
                  <c:v>Pro Plan</c:v>
                </c:pt>
                <c:pt idx="2">
                  <c:v>API Access</c:v>
                </c:pt>
                <c:pt idx="3">
                  <c:v>AI Insights</c:v>
                </c:pt>
                <c:pt idx="4">
                  <c:v>Starter Plan</c:v>
                </c:pt>
                <c:pt idx="5">
                  <c:v>CRM Module</c:v>
                </c:pt>
                <c:pt idx="6">
                  <c:v>Data Analytics Add-on</c:v>
                </c:pt>
                <c:pt idx="7">
                  <c:v>Cloud Storage Add-on</c:v>
                </c:pt>
                <c:pt idx="8">
                  <c:v>Security Suite</c:v>
                </c:pt>
                <c:pt idx="9">
                  <c:v>Email Automation</c:v>
                </c:pt>
              </c:strCache>
            </c:strRef>
          </c:cat>
          <c:val>
            <c:numRef>
              <c:f>'Revenue by Product'!$B$2:$B$11</c:f>
              <c:numCache>
                <c:formatCode>#,##0</c:formatCode>
                <c:ptCount val="10"/>
                <c:pt idx="0">
                  <c:v>9742252.8200000003</c:v>
                </c:pt>
                <c:pt idx="1">
                  <c:v>4870806.8600000003</c:v>
                </c:pt>
                <c:pt idx="2">
                  <c:v>3241681.02</c:v>
                </c:pt>
                <c:pt idx="3">
                  <c:v>2865392.47</c:v>
                </c:pt>
                <c:pt idx="4">
                  <c:v>2827868.3</c:v>
                </c:pt>
                <c:pt idx="5">
                  <c:v>2826360.86</c:v>
                </c:pt>
                <c:pt idx="6">
                  <c:v>2803994.6</c:v>
                </c:pt>
                <c:pt idx="7">
                  <c:v>2788713.8</c:v>
                </c:pt>
                <c:pt idx="8">
                  <c:v>2788086.41</c:v>
                </c:pt>
                <c:pt idx="9">
                  <c:v>1977647.39</c:v>
                </c:pt>
              </c:numCache>
            </c:numRef>
          </c:val>
          <c:extLst>
            <c:ext xmlns:c16="http://schemas.microsoft.com/office/drawing/2014/chart" uri="{C3380CC4-5D6E-409C-BE32-E72D297353CC}">
              <c16:uniqueId val="{00000000-B878-4650-9FBB-F063F8D910B3}"/>
            </c:ext>
          </c:extLst>
        </c:ser>
        <c:dLbls>
          <c:dLblPos val="outEnd"/>
          <c:showLegendKey val="0"/>
          <c:showVal val="1"/>
          <c:showCatName val="0"/>
          <c:showSerName val="0"/>
          <c:showPercent val="0"/>
          <c:showBubbleSize val="0"/>
        </c:dLbls>
        <c:gapWidth val="100"/>
        <c:axId val="692509832"/>
        <c:axId val="692507672"/>
      </c:barChart>
      <c:catAx>
        <c:axId val="692509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2507672"/>
        <c:crosses val="autoZero"/>
        <c:auto val="1"/>
        <c:lblAlgn val="ctr"/>
        <c:lblOffset val="100"/>
        <c:noMultiLvlLbl val="0"/>
      </c:catAx>
      <c:valAx>
        <c:axId val="69250767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2509832"/>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'Revenue by Region'!$B$1</c:f>
              <c:strCache>
                <c:ptCount val="1"/>
                <c:pt idx="0">
                  <c:v>total_revenue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'Revenue by Region'!$A$2:$A$6</c:f>
              <c:strCache>
                <c:ptCount val="5"/>
                <c:pt idx="0">
                  <c:v>Europe</c:v>
                </c:pt>
                <c:pt idx="1">
                  <c:v>Americas</c:v>
                </c:pt>
                <c:pt idx="2">
                  <c:v>Africa</c:v>
                </c:pt>
                <c:pt idx="3">
                  <c:v>Asia</c:v>
                </c:pt>
                <c:pt idx="4">
                  <c:v>Oceania</c:v>
                </c:pt>
              </c:strCache>
            </c:strRef>
          </c:cat>
          <c:val>
            <c:numRef>
              <c:f>'Revenue by Region'!$B$2:$B$6</c:f>
              <c:numCache>
                <c:formatCode>#,##0</c:formatCode>
                <c:ptCount val="5"/>
                <c:pt idx="0">
                  <c:v>13470190.710000001</c:v>
                </c:pt>
                <c:pt idx="1">
                  <c:v>8607870.0099999998</c:v>
                </c:pt>
                <c:pt idx="2">
                  <c:v>7308515.1799999997</c:v>
                </c:pt>
                <c:pt idx="3">
                  <c:v>4886307.45</c:v>
                </c:pt>
                <c:pt idx="4">
                  <c:v>2459921.1800000002</c:v>
                </c:pt>
              </c:numCache>
            </c:numRef>
          </c:val>
          <c:extLst>
            <c:ext xmlns:c16="http://schemas.microsoft.com/office/drawing/2014/chart" uri="{C3380CC4-5D6E-409C-BE32-E72D297353CC}">
              <c16:uniqueId val="{00000000-9F4C-4131-859E-B5D4E4BC009C}"/>
            </c:ext>
          </c:extLst>
        </c:ser>
        <c:dLbls>
          <c:dLblPos val="outEnd"/>
          <c:showLegendKey val="0"/>
          <c:showVal val="1"/>
          <c:showCatName val="0"/>
          <c:showSerName val="0"/>
          <c:showPercent val="0"/>
          <c:showBubbleSize val="0"/>
        </c:dLbls>
        <c:gapWidth val="315"/>
        <c:overlap val="-40"/>
        <c:axId val="738497680"/>
        <c:axId val="738498760"/>
      </c:barChart>
      <c:catAx>
        <c:axId val="738497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8498760"/>
        <c:crosses val="autoZero"/>
        <c:auto val="1"/>
        <c:lblAlgn val="ctr"/>
        <c:lblOffset val="100"/>
        <c:noMultiLvlLbl val="0"/>
      </c:catAx>
      <c:valAx>
        <c:axId val="7384987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84976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Volume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'Revenue by Region'!$C$1</c:f>
              <c:strCache>
                <c:ptCount val="1"/>
                <c:pt idx="0">
                  <c:v>total_orders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'Revenue by Region'!$A$2:$A$6</c:f>
              <c:strCache>
                <c:ptCount val="5"/>
                <c:pt idx="0">
                  <c:v>Europe</c:v>
                </c:pt>
                <c:pt idx="1">
                  <c:v>Americas</c:v>
                </c:pt>
                <c:pt idx="2">
                  <c:v>Africa</c:v>
                </c:pt>
                <c:pt idx="3">
                  <c:v>Asia</c:v>
                </c:pt>
                <c:pt idx="4">
                  <c:v>Oceania</c:v>
                </c:pt>
              </c:strCache>
            </c:strRef>
          </c:cat>
          <c:val>
            <c:numRef>
              <c:f>'Revenue by Region'!$C$2:$C$6</c:f>
              <c:numCache>
                <c:formatCode>#,##0</c:formatCode>
                <c:ptCount val="5"/>
                <c:pt idx="0">
                  <c:v>43988</c:v>
                </c:pt>
                <c:pt idx="1">
                  <c:v>28228</c:v>
                </c:pt>
                <c:pt idx="2">
                  <c:v>23918</c:v>
                </c:pt>
                <c:pt idx="3">
                  <c:v>15836</c:v>
                </c:pt>
                <c:pt idx="4">
                  <c:v>8030</c:v>
                </c:pt>
              </c:numCache>
            </c:numRef>
          </c:val>
          <c:extLst>
            <c:ext xmlns:c16="http://schemas.microsoft.com/office/drawing/2014/chart" uri="{C3380CC4-5D6E-409C-BE32-E72D297353CC}">
              <c16:uniqueId val="{00000000-EFA1-4962-9519-6ED4778FDDC7}"/>
            </c:ext>
          </c:extLst>
        </c:ser>
        <c:dLbls>
          <c:dLblPos val="outEnd"/>
          <c:showLegendKey val="0"/>
          <c:showVal val="1"/>
          <c:showCatName val="0"/>
          <c:showSerName val="0"/>
          <c:showPercent val="0"/>
          <c:showBubbleSize val="0"/>
        </c:dLbls>
        <c:gapWidth val="315"/>
        <c:overlap val="-40"/>
        <c:axId val="359476112"/>
        <c:axId val="359473592"/>
      </c:barChart>
      <c:catAx>
        <c:axId val="359476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9473592"/>
        <c:crosses val="autoZero"/>
        <c:auto val="1"/>
        <c:lblAlgn val="ctr"/>
        <c:lblOffset val="100"/>
        <c:noMultiLvlLbl val="0"/>
      </c:catAx>
      <c:valAx>
        <c:axId val="359473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947611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Seasonal Revenue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1E-41C1-8CB5-A5CB54B3575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1E-41C1-8CB5-A5CB54B3575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1E-41C1-8CB5-A5CB54B3575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21E-41C1-8CB5-A5CB54B3575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21E-41C1-8CB5-A5CB54B3575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'Seasonal Revenue Summary'!$A$2:$A$6</c:f>
              <c:strCache>
                <c:ptCount val="5"/>
                <c:pt idx="0">
                  <c:v>Summer</c:v>
                </c:pt>
                <c:pt idx="1">
                  <c:v>Spring</c:v>
                </c:pt>
                <c:pt idx="2">
                  <c:v>Holiday</c:v>
                </c:pt>
                <c:pt idx="3">
                  <c:v>Fall</c:v>
                </c:pt>
                <c:pt idx="4">
                  <c:v>Winter</c:v>
                </c:pt>
              </c:strCache>
            </c:strRef>
          </c:cat>
          <c:val>
            <c:numRef>
              <c:f>'Seasonal Revenue Summary'!$B$2:$B$6</c:f>
              <c:numCache>
                <c:formatCode>#,##0</c:formatCode>
                <c:ptCount val="5"/>
                <c:pt idx="0">
                  <c:v>11598224.23</c:v>
                </c:pt>
                <c:pt idx="1">
                  <c:v>8424754.3699999992</c:v>
                </c:pt>
                <c:pt idx="2">
                  <c:v>7424915.2699999996</c:v>
                </c:pt>
                <c:pt idx="3">
                  <c:v>4844534.67</c:v>
                </c:pt>
                <c:pt idx="4">
                  <c:v>4440375.99</c:v>
                </c:pt>
              </c:numCache>
            </c:numRef>
          </c:val>
          <c:extLst>
            <c:ext xmlns:c16="http://schemas.microsoft.com/office/drawing/2014/chart" uri="{C3380CC4-5D6E-409C-BE32-E72D297353CC}">
              <c16:uniqueId val="{00000000-CEE0-46CF-9855-A5A54A25D90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Seasonal Revenue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'Seasonal Revenue Summary'!$A$2:$A$6</c:f>
              <c:strCache>
                <c:ptCount val="5"/>
                <c:pt idx="0">
                  <c:v>Summer</c:v>
                </c:pt>
                <c:pt idx="1">
                  <c:v>Spring</c:v>
                </c:pt>
                <c:pt idx="2">
                  <c:v>Holiday</c:v>
                </c:pt>
                <c:pt idx="3">
                  <c:v>Fall</c:v>
                </c:pt>
                <c:pt idx="4">
                  <c:v>Winter</c:v>
                </c:pt>
              </c:strCache>
            </c:strRef>
          </c:cat>
          <c:val>
            <c:numRef>
              <c:f>'Seasonal Revenue Summary'!$B$2:$B$6</c:f>
              <c:numCache>
                <c:formatCode>#,##0</c:formatCode>
                <c:ptCount val="5"/>
                <c:pt idx="0">
                  <c:v>11598224.23</c:v>
                </c:pt>
                <c:pt idx="1">
                  <c:v>8424754.3699999992</c:v>
                </c:pt>
                <c:pt idx="2">
                  <c:v>7424915.2699999996</c:v>
                </c:pt>
                <c:pt idx="3">
                  <c:v>4844534.67</c:v>
                </c:pt>
                <c:pt idx="4">
                  <c:v>4440375.99</c:v>
                </c:pt>
              </c:numCache>
            </c:numRef>
          </c:val>
          <c:extLst>
            <c:ext xmlns:c16="http://schemas.microsoft.com/office/drawing/2014/chart" uri="{C3380CC4-5D6E-409C-BE32-E72D297353CC}">
              <c16:uniqueId val="{00000000-7394-4481-9F89-6D16133D7612}"/>
            </c:ext>
          </c:extLst>
        </c:ser>
        <c:dLbls>
          <c:showLegendKey val="0"/>
          <c:showVal val="0"/>
          <c:showCatName val="0"/>
          <c:showSerName val="0"/>
          <c:showPercent val="0"/>
          <c:showBubbleSize val="0"/>
        </c:dLbls>
        <c:gapWidth val="267"/>
        <c:overlap val="-43"/>
        <c:axId val="587987240"/>
        <c:axId val="587988320"/>
      </c:barChart>
      <c:catAx>
        <c:axId val="5879872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87988320"/>
        <c:crosses val="autoZero"/>
        <c:auto val="1"/>
        <c:lblAlgn val="ctr"/>
        <c:lblOffset val="100"/>
        <c:noMultiLvlLbl val="0"/>
      </c:catAx>
      <c:valAx>
        <c:axId val="587988320"/>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87987240"/>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dispUnitsLbl>
        </c:dispUnits>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Refunds per Region</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'Refund Rate by Region'!$B$1</c:f>
              <c:strCache>
                <c:ptCount val="1"/>
                <c:pt idx="0">
                  <c:v>total_refunds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'Refund Rate by Region'!$A$2:$A$6</c:f>
              <c:strCache>
                <c:ptCount val="5"/>
                <c:pt idx="0">
                  <c:v>Europe</c:v>
                </c:pt>
                <c:pt idx="1">
                  <c:v>Americas</c:v>
                </c:pt>
                <c:pt idx="2">
                  <c:v>Africa</c:v>
                </c:pt>
                <c:pt idx="3">
                  <c:v>Asia</c:v>
                </c:pt>
                <c:pt idx="4">
                  <c:v>Oceania</c:v>
                </c:pt>
              </c:strCache>
            </c:strRef>
          </c:cat>
          <c:val>
            <c:numRef>
              <c:f>'Refund Rate by Region'!$B$2:$B$6</c:f>
              <c:numCache>
                <c:formatCode>General</c:formatCode>
                <c:ptCount val="5"/>
                <c:pt idx="0">
                  <c:v>2184</c:v>
                </c:pt>
                <c:pt idx="1">
                  <c:v>1497</c:v>
                </c:pt>
                <c:pt idx="2">
                  <c:v>1201</c:v>
                </c:pt>
                <c:pt idx="3">
                  <c:v>814</c:v>
                </c:pt>
                <c:pt idx="4">
                  <c:v>420</c:v>
                </c:pt>
              </c:numCache>
            </c:numRef>
          </c:val>
          <c:extLst>
            <c:ext xmlns:c16="http://schemas.microsoft.com/office/drawing/2014/chart" uri="{C3380CC4-5D6E-409C-BE32-E72D297353CC}">
              <c16:uniqueId val="{00000000-03CE-419C-BE7A-E3D47E698C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0</xdr:colOff>
      <xdr:row>0</xdr:row>
      <xdr:rowOff>1</xdr:rowOff>
    </xdr:from>
    <xdr:to>
      <xdr:col>25</xdr:col>
      <xdr:colOff>0</xdr:colOff>
      <xdr:row>25</xdr:row>
      <xdr:rowOff>1</xdr:rowOff>
    </xdr:to>
    <xdr:graphicFrame macro="">
      <xdr:nvGraphicFramePr>
        <xdr:cNvPr id="2" name="Chart 1">
          <a:extLst>
            <a:ext uri="{FF2B5EF4-FFF2-40B4-BE49-F238E27FC236}">
              <a16:creationId xmlns:a16="http://schemas.microsoft.com/office/drawing/2014/main" id="{CC34E48D-54B6-30EE-7824-84ECF7CF5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25</xdr:row>
      <xdr:rowOff>28575</xdr:rowOff>
    </xdr:from>
    <xdr:to>
      <xdr:col>13</xdr:col>
      <xdr:colOff>0</xdr:colOff>
      <xdr:row>33</xdr:row>
      <xdr:rowOff>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33BF10D1-92F7-B0C1-E78A-BF56D3F997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382125" y="4791075"/>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34</xdr:row>
      <xdr:rowOff>0</xdr:rowOff>
    </xdr:from>
    <xdr:to>
      <xdr:col>25</xdr:col>
      <xdr:colOff>0</xdr:colOff>
      <xdr:row>59</xdr:row>
      <xdr:rowOff>0</xdr:rowOff>
    </xdr:to>
    <xdr:graphicFrame macro="">
      <xdr:nvGraphicFramePr>
        <xdr:cNvPr id="4" name="Chart 3">
          <a:extLst>
            <a:ext uri="{FF2B5EF4-FFF2-40B4-BE49-F238E27FC236}">
              <a16:creationId xmlns:a16="http://schemas.microsoft.com/office/drawing/2014/main" id="{996FE868-7025-64CE-018A-AFACF1605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59</xdr:row>
      <xdr:rowOff>0</xdr:rowOff>
    </xdr:from>
    <xdr:to>
      <xdr:col>13</xdr:col>
      <xdr:colOff>0</xdr:colOff>
      <xdr:row>67</xdr:row>
      <xdr:rowOff>0</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DE9045F6-65BF-50C9-0100-44B4B49C4BD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382125" y="1123950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142875</xdr:colOff>
      <xdr:row>25</xdr:row>
      <xdr:rowOff>9525</xdr:rowOff>
    </xdr:from>
    <xdr:to>
      <xdr:col>25</xdr:col>
      <xdr:colOff>0</xdr:colOff>
      <xdr:row>33</xdr:row>
      <xdr:rowOff>95250</xdr:rowOff>
    </xdr:to>
    <xdr:sp macro="" textlink="">
      <xdr:nvSpPr>
        <xdr:cNvPr id="8" name="TextBox 7">
          <a:extLst>
            <a:ext uri="{FF2B5EF4-FFF2-40B4-BE49-F238E27FC236}">
              <a16:creationId xmlns:a16="http://schemas.microsoft.com/office/drawing/2014/main" id="{6581489D-BC33-07B0-022A-C0ECB5C4C624}"/>
            </a:ext>
          </a:extLst>
        </xdr:cNvPr>
        <xdr:cNvSpPr txBox="1"/>
      </xdr:nvSpPr>
      <xdr:spPr>
        <a:xfrm>
          <a:off x="11353800" y="4772025"/>
          <a:ext cx="8172450" cy="1609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Revenue has grown steadily year over year, rising from $8.3M in 2022 to nearly $10M in 2024, before a partial-year total of $7.35M in 2025.</a:t>
          </a:r>
          <a:endParaRPr lang="en-US"/>
        </a:p>
        <a:p>
          <a:r>
            <a:rPr lang="en-US"/>
            <a:t>There’s a clear </a:t>
          </a:r>
          <a:r>
            <a:rPr lang="en-US" b="1"/>
            <a:t>seasonal pattern</a:t>
          </a:r>
          <a:r>
            <a:rPr lang="en-US"/>
            <a:t>, with the </a:t>
          </a:r>
          <a:r>
            <a:rPr lang="en-US" b="1"/>
            <a:t>strongest months consistently being November and December</a:t>
          </a:r>
          <a:r>
            <a:rPr lang="en-US"/>
            <a:t> — revenue peaks above $1M in both months each year, likely due to holiday promotions or year-end business activity.</a:t>
          </a:r>
        </a:p>
        <a:p>
          <a:endParaRPr lang="en-US" sz="1100"/>
        </a:p>
        <a:p>
          <a:r>
            <a:rPr lang="en-US"/>
            <a:t>Revenue grew steadily from $8.3M in 2022 to nearly $10M in 2024 — a </a:t>
          </a:r>
          <a:r>
            <a:rPr lang="en-US" b="1"/>
            <a:t>20% increase in two years</a:t>
          </a:r>
          <a:r>
            <a:rPr lang="en-US"/>
            <a:t>, driven by </a:t>
          </a:r>
          <a:r>
            <a:rPr lang="en-US" b="1"/>
            <a:t>expansion of the Enterprise Plan</a:t>
          </a:r>
          <a:r>
            <a:rPr lang="en-US"/>
            <a:t> and </a:t>
          </a:r>
          <a:r>
            <a:rPr lang="en-US" b="1"/>
            <a:t>successful holiday campaigns (“CloudFest 2024”)</a:t>
          </a:r>
          <a:r>
            <a:rPr lang="en-US"/>
            <a:t> that boosted December sales by over 15%.</a:t>
          </a:r>
        </a:p>
        <a:p>
          <a:r>
            <a:rPr lang="en-US"/>
            <a:t>The upward trend suggests effective customer retention and upselling strategies through loyalty incentives introduced in mid-2023.</a:t>
          </a:r>
        </a:p>
        <a:p>
          <a:endParaRPr lang="en-US" sz="1100"/>
        </a:p>
      </xdr:txBody>
    </xdr:sp>
    <xdr:clientData/>
  </xdr:twoCellAnchor>
  <xdr:twoCellAnchor>
    <xdr:from>
      <xdr:col>13</xdr:col>
      <xdr:colOff>0</xdr:colOff>
      <xdr:row>59</xdr:row>
      <xdr:rowOff>0</xdr:rowOff>
    </xdr:from>
    <xdr:to>
      <xdr:col>25</xdr:col>
      <xdr:colOff>0</xdr:colOff>
      <xdr:row>67</xdr:row>
      <xdr:rowOff>0</xdr:rowOff>
    </xdr:to>
    <xdr:sp macro="" textlink="">
      <xdr:nvSpPr>
        <xdr:cNvPr id="9" name="TextBox 8">
          <a:extLst>
            <a:ext uri="{FF2B5EF4-FFF2-40B4-BE49-F238E27FC236}">
              <a16:creationId xmlns:a16="http://schemas.microsoft.com/office/drawing/2014/main" id="{7FC8B539-CD36-8725-B69D-DB7B37B9B355}"/>
            </a:ext>
          </a:extLst>
        </xdr:cNvPr>
        <xdr:cNvSpPr txBox="1"/>
      </xdr:nvSpPr>
      <xdr:spPr>
        <a:xfrm>
          <a:off x="11210925" y="11239500"/>
          <a:ext cx="8315325"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Average Order Value (AOV)</a:t>
          </a:r>
          <a:r>
            <a:rPr lang="en-US"/>
            <a:t> follows the same pattern, reaching its highs in November–December (around $500+). This indicates not just higher sales volume but also larger transaction sizes during this period.</a:t>
          </a:r>
        </a:p>
        <a:p>
          <a:r>
            <a:rPr lang="en-US"/>
            <a:t>Overall, growth has been </a:t>
          </a:r>
          <a:r>
            <a:rPr lang="en-US" b="1"/>
            <a:t>consistent and healthy</a:t>
          </a:r>
          <a:r>
            <a:rPr lang="en-US"/>
            <a:t>, with </a:t>
          </a:r>
          <a:r>
            <a:rPr lang="en-US" b="1"/>
            <a:t>2024 achieving a 20% increase over 2022</a:t>
          </a:r>
          <a:r>
            <a:rPr lang="en-US"/>
            <a:t> and a strong trend continuing into 2025.</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5</xdr:row>
      <xdr:rowOff>0</xdr:rowOff>
    </xdr:from>
    <xdr:to>
      <xdr:col>16</xdr:col>
      <xdr:colOff>0</xdr:colOff>
      <xdr:row>27</xdr:row>
      <xdr:rowOff>0</xdr:rowOff>
    </xdr:to>
    <xdr:graphicFrame macro="">
      <xdr:nvGraphicFramePr>
        <xdr:cNvPr id="2" name="Chart 1">
          <a:extLst>
            <a:ext uri="{FF2B5EF4-FFF2-40B4-BE49-F238E27FC236}">
              <a16:creationId xmlns:a16="http://schemas.microsoft.com/office/drawing/2014/main" id="{0AAE91E0-DA14-A4A8-6941-B36DAE1DC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27</xdr:row>
      <xdr:rowOff>0</xdr:rowOff>
    </xdr:from>
    <xdr:to>
      <xdr:col>16</xdr:col>
      <xdr:colOff>0</xdr:colOff>
      <xdr:row>42</xdr:row>
      <xdr:rowOff>133350</xdr:rowOff>
    </xdr:to>
    <xdr:sp macro="" textlink="">
      <xdr:nvSpPr>
        <xdr:cNvPr id="3" name="TextBox 2">
          <a:extLst>
            <a:ext uri="{FF2B5EF4-FFF2-40B4-BE49-F238E27FC236}">
              <a16:creationId xmlns:a16="http://schemas.microsoft.com/office/drawing/2014/main" id="{2AF746C7-AA78-5430-B980-675AE3EBCEA4}"/>
            </a:ext>
          </a:extLst>
        </xdr:cNvPr>
        <xdr:cNvSpPr txBox="1"/>
      </xdr:nvSpPr>
      <xdr:spPr>
        <a:xfrm>
          <a:off x="4276725" y="5143500"/>
          <a:ext cx="6705600" cy="299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Enterprise Plan dominates</a:t>
          </a:r>
          <a:r>
            <a:rPr lang="en-US"/>
            <a:t>, generating </a:t>
          </a:r>
          <a:r>
            <a:rPr lang="en-US" b="1"/>
            <a:t>$9.74M in revenue</a:t>
          </a:r>
          <a:r>
            <a:rPr lang="en-US"/>
            <a:t>, nearly </a:t>
          </a:r>
          <a:r>
            <a:rPr lang="en-US" b="1"/>
            <a:t>double</a:t>
          </a:r>
          <a:r>
            <a:rPr lang="en-US"/>
            <a:t> the second-highest product (Pro Plan, $4.87M).</a:t>
          </a:r>
        </a:p>
        <a:p>
          <a:r>
            <a:rPr lang="en-US"/>
            <a:t>After these two, the remaining products contribute smaller but still significant portions (~$2.7–$3.2M each), indicating a </a:t>
          </a:r>
          <a:r>
            <a:rPr lang="en-US" b="1"/>
            <a:t>broad but top-heavy product portfolio</a:t>
          </a:r>
          <a:r>
            <a:rPr lang="en-US"/>
            <a:t>.</a:t>
          </a:r>
        </a:p>
        <a:p>
          <a:r>
            <a:rPr lang="en-US"/>
            <a:t>This suggests that </a:t>
          </a:r>
          <a:r>
            <a:rPr lang="en-US" b="1"/>
            <a:t>Enterprise Plan drives the company’s financial performance</a:t>
          </a:r>
          <a:r>
            <a:rPr lang="en-US"/>
            <a:t>, while </a:t>
          </a:r>
          <a:r>
            <a:rPr lang="en-US" b="1"/>
            <a:t>mid-tier and add-on products</a:t>
          </a:r>
          <a:r>
            <a:rPr lang="en-US"/>
            <a:t> serve more as supporting revenue streams.</a:t>
          </a:r>
        </a:p>
        <a:p>
          <a:endParaRPr lang="en-US"/>
        </a:p>
        <a:p>
          <a:endParaRPr lang="en-US"/>
        </a:p>
        <a:p>
          <a:r>
            <a:rPr lang="en-US"/>
            <a:t>The </a:t>
          </a:r>
          <a:r>
            <a:rPr lang="en-US" b="1"/>
            <a:t>Enterprise Plan</a:t>
          </a:r>
          <a:r>
            <a:rPr lang="en-US"/>
            <a:t> is the company’s </a:t>
          </a:r>
          <a:r>
            <a:rPr lang="en-US" b="1"/>
            <a:t>flagship revenue engine</a:t>
          </a:r>
          <a:r>
            <a:rPr lang="en-US"/>
            <a:t>, generating </a:t>
          </a:r>
          <a:r>
            <a:rPr lang="en-US" b="1"/>
            <a:t>26.5% of total revenue</a:t>
          </a:r>
          <a:r>
            <a:rPr lang="en-US"/>
            <a:t> with the </a:t>
          </a:r>
          <a:r>
            <a:rPr lang="en-US" b="1"/>
            <a:t>highest AOV ($815)</a:t>
          </a:r>
          <a:r>
            <a:rPr lang="en-US"/>
            <a:t>.</a:t>
          </a:r>
        </a:p>
        <a:p>
          <a:r>
            <a:rPr lang="en-US"/>
            <a:t>Lower-tier plans like </a:t>
          </a:r>
          <a:r>
            <a:rPr lang="en-US" b="1"/>
            <a:t>Email Automation</a:t>
          </a:r>
          <a:r>
            <a:rPr lang="en-US"/>
            <a:t> and </a:t>
          </a:r>
          <a:r>
            <a:rPr lang="en-US" b="1"/>
            <a:t>API Access</a:t>
          </a:r>
          <a:r>
            <a:rPr lang="en-US"/>
            <a:t> attract volume users, serving as strong </a:t>
          </a:r>
          <a:r>
            <a:rPr lang="en-US" b="1"/>
            <a:t>entry points for cross-selling and conversion into premium plans</a:t>
          </a:r>
          <a:r>
            <a:rPr lang="en-US"/>
            <a:t>.</a:t>
          </a:r>
        </a:p>
        <a:p>
          <a:r>
            <a:rPr lang="en-US"/>
            <a:t>This tiered structure positions DataFlow Cloud well for scaling — high-margin plans dominate revenue, while smaller tools sustain brand reach.</a:t>
          </a:r>
        </a:p>
        <a:p>
          <a:endParaRPr lang="en-US"/>
        </a:p>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0</xdr:colOff>
      <xdr:row>21</xdr:row>
      <xdr:rowOff>0</xdr:rowOff>
    </xdr:to>
    <xdr:sp macro="" textlink="">
      <xdr:nvSpPr>
        <xdr:cNvPr id="3" name="TextBox 2">
          <a:extLst>
            <a:ext uri="{FF2B5EF4-FFF2-40B4-BE49-F238E27FC236}">
              <a16:creationId xmlns:a16="http://schemas.microsoft.com/office/drawing/2014/main" id="{6DE48753-70E1-8579-FD45-BC9477F276A2}"/>
            </a:ext>
          </a:extLst>
        </xdr:cNvPr>
        <xdr:cNvSpPr txBox="1"/>
      </xdr:nvSpPr>
      <xdr:spPr>
        <a:xfrm>
          <a:off x="0" y="2286000"/>
          <a:ext cx="5667375"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a:t>
          </a:r>
          <a:r>
            <a:rPr lang="en-US" b="1"/>
            <a:t>Enterprise Plan not only leads in total revenue (26.5% of total)</a:t>
          </a:r>
          <a:r>
            <a:rPr lang="en-US"/>
            <a:t> but also has the </a:t>
          </a:r>
          <a:r>
            <a:rPr lang="en-US" b="1"/>
            <a:t>highest average order value ($815)</a:t>
          </a:r>
          <a:r>
            <a:rPr lang="en-US"/>
            <a:t>.</a:t>
          </a:r>
        </a:p>
        <a:p>
          <a:r>
            <a:rPr lang="en-US"/>
            <a:t>Refund rates are </a:t>
          </a:r>
          <a:r>
            <a:rPr lang="en-US" b="1"/>
            <a:t>consistent across all products (4.7–5.4%)</a:t>
          </a:r>
          <a:r>
            <a:rPr lang="en-US"/>
            <a:t>, which suggests </a:t>
          </a:r>
          <a:r>
            <a:rPr lang="en-US" b="1"/>
            <a:t>operational stability</a:t>
          </a:r>
          <a:r>
            <a:rPr lang="en-US"/>
            <a:t> and no major quality or satisfaction issues tied to specific products.</a:t>
          </a:r>
        </a:p>
        <a:p>
          <a:r>
            <a:rPr lang="en-US"/>
            <a:t>Despite lower revenue shares, products like </a:t>
          </a:r>
          <a:r>
            <a:rPr lang="en-US" b="1"/>
            <a:t>Email Automation</a:t>
          </a:r>
          <a:r>
            <a:rPr lang="en-US"/>
            <a:t> and </a:t>
          </a:r>
          <a:r>
            <a:rPr lang="en-US" b="1"/>
            <a:t>API Access</a:t>
          </a:r>
          <a:r>
            <a:rPr lang="en-US"/>
            <a:t> maintain </a:t>
          </a:r>
          <a:r>
            <a:rPr lang="en-US" b="1"/>
            <a:t>high order counts</a:t>
          </a:r>
          <a:r>
            <a:rPr lang="en-US"/>
            <a:t>, pointing to strong adoption for lower-cost offerings — potentially upsell opportunities for premium tiers.</a:t>
          </a:r>
        </a:p>
        <a:p>
          <a:r>
            <a:rPr lang="en-US"/>
            <a:t>The product mix is balanced in usage but skewed in value — </a:t>
          </a:r>
          <a:r>
            <a:rPr lang="en-US" b="1"/>
            <a:t>a few high-ticket plans carry most revenue</a:t>
          </a:r>
          <a:r>
            <a:rPr lang="en-US"/>
            <a:t>.</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17</xdr:row>
      <xdr:rowOff>76200</xdr:rowOff>
    </xdr:to>
    <xdr:graphicFrame macro="">
      <xdr:nvGraphicFramePr>
        <xdr:cNvPr id="3" name="Chart 2">
          <a:extLst>
            <a:ext uri="{FF2B5EF4-FFF2-40B4-BE49-F238E27FC236}">
              <a16:creationId xmlns:a16="http://schemas.microsoft.com/office/drawing/2014/main" id="{025309E3-1D43-C941-62E0-764EE450D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9525</xdr:rowOff>
    </xdr:from>
    <xdr:to>
      <xdr:col>12</xdr:col>
      <xdr:colOff>304800</xdr:colOff>
      <xdr:row>32</xdr:row>
      <xdr:rowOff>85725</xdr:rowOff>
    </xdr:to>
    <xdr:graphicFrame macro="">
      <xdr:nvGraphicFramePr>
        <xdr:cNvPr id="4" name="Chart 3">
          <a:extLst>
            <a:ext uri="{FF2B5EF4-FFF2-40B4-BE49-F238E27FC236}">
              <a16:creationId xmlns:a16="http://schemas.microsoft.com/office/drawing/2014/main" id="{1FAA57BE-8FF5-80D8-1710-D51E0A2AC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0</xdr:rowOff>
    </xdr:from>
    <xdr:to>
      <xdr:col>4</xdr:col>
      <xdr:colOff>0</xdr:colOff>
      <xdr:row>19</xdr:row>
      <xdr:rowOff>0</xdr:rowOff>
    </xdr:to>
    <xdr:sp macro="" textlink="">
      <xdr:nvSpPr>
        <xdr:cNvPr id="2" name="TextBox 1">
          <a:extLst>
            <a:ext uri="{FF2B5EF4-FFF2-40B4-BE49-F238E27FC236}">
              <a16:creationId xmlns:a16="http://schemas.microsoft.com/office/drawing/2014/main" id="{909A9E51-16A2-B96E-2316-BD27F3C9B350}"/>
            </a:ext>
          </a:extLst>
        </xdr:cNvPr>
        <xdr:cNvSpPr txBox="1"/>
      </xdr:nvSpPr>
      <xdr:spPr>
        <a:xfrm>
          <a:off x="0" y="1333500"/>
          <a:ext cx="3228975" cy="228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Europe leads with $13.47M (39% of total revenue)</a:t>
          </a:r>
          <a:r>
            <a:rPr lang="en-US"/>
            <a:t>, followed by </a:t>
          </a:r>
          <a:r>
            <a:rPr lang="en-US" b="1"/>
            <a:t>Americas ($8.6M, 25%)</a:t>
          </a:r>
          <a:r>
            <a:rPr lang="en-US"/>
            <a:t>, and </a:t>
          </a:r>
          <a:r>
            <a:rPr lang="en-US" b="1"/>
            <a:t>Africa ($7.3M, 21%)</a:t>
          </a:r>
          <a:r>
            <a:rPr lang="en-US"/>
            <a:t>.</a:t>
          </a:r>
        </a:p>
        <a:p>
          <a:r>
            <a:rPr lang="en-US"/>
            <a:t>The regional spread is fairly diversified, but the </a:t>
          </a:r>
          <a:r>
            <a:rPr lang="en-US" b="1"/>
            <a:t>European market remains the company’s strongest</a:t>
          </a:r>
          <a:r>
            <a:rPr lang="en-US"/>
            <a:t>, both in revenue and order volume (44K+ orders).</a:t>
          </a:r>
        </a:p>
        <a:p>
          <a:r>
            <a:rPr lang="en-US" b="1"/>
            <a:t>Asia and Oceania</a:t>
          </a:r>
          <a:r>
            <a:rPr lang="en-US"/>
            <a:t> trail behind, signaling </a:t>
          </a:r>
          <a:r>
            <a:rPr lang="en-US" b="1"/>
            <a:t>potential growth opportunities</a:t>
          </a:r>
          <a:r>
            <a:rPr lang="en-US"/>
            <a:t> in these regions, particularly since their average order values are comparable.</a:t>
          </a:r>
        </a:p>
        <a:p>
          <a:r>
            <a:rPr lang="en-US"/>
            <a:t>The data suggests that </a:t>
          </a:r>
          <a:r>
            <a:rPr lang="en-US" b="1"/>
            <a:t>marketing and product localization efforts</a:t>
          </a:r>
          <a:r>
            <a:rPr lang="en-US"/>
            <a:t> in Asia and Oceania could yield high returns if executed well.</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22</xdr:row>
      <xdr:rowOff>183173</xdr:rowOff>
    </xdr:from>
    <xdr:to>
      <xdr:col>4</xdr:col>
      <xdr:colOff>293075</xdr:colOff>
      <xdr:row>31</xdr:row>
      <xdr:rowOff>1</xdr:rowOff>
    </xdr:to>
    <xdr:sp macro="" textlink="">
      <xdr:nvSpPr>
        <xdr:cNvPr id="4" name="TextBox 3">
          <a:extLst>
            <a:ext uri="{FF2B5EF4-FFF2-40B4-BE49-F238E27FC236}">
              <a16:creationId xmlns:a16="http://schemas.microsoft.com/office/drawing/2014/main" id="{EC47460B-D055-401F-9DC3-02375E15FC21}"/>
            </a:ext>
          </a:extLst>
        </xdr:cNvPr>
        <xdr:cNvSpPr txBox="1"/>
      </xdr:nvSpPr>
      <xdr:spPr>
        <a:xfrm>
          <a:off x="0" y="3802673"/>
          <a:ext cx="5011613" cy="15313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Across all regions, the </a:t>
          </a:r>
          <a:r>
            <a:rPr lang="en-US" i="1"/>
            <a:t>Enterprise Plan</a:t>
          </a:r>
          <a:r>
            <a:rPr lang="en-US"/>
            <a:t> consistently generates the highest revenue, indicating it’s the premium or most profitable offering globally.</a:t>
          </a:r>
          <a:br>
            <a:rPr lang="en-US"/>
          </a:br>
          <a:r>
            <a:rPr lang="en-US"/>
            <a:t>However, different products dominate by </a:t>
          </a:r>
          <a:r>
            <a:rPr lang="en-US" b="1"/>
            <a:t>order volume</a:t>
          </a:r>
          <a:r>
            <a:rPr lang="en-US"/>
            <a:t> — particularly </a:t>
          </a:r>
          <a:r>
            <a:rPr lang="en-US" i="1"/>
            <a:t>Email Automation</a:t>
          </a:r>
          <a:r>
            <a:rPr lang="en-US"/>
            <a:t> and </a:t>
          </a:r>
          <a:r>
            <a:rPr lang="en-US" i="1"/>
            <a:t>API Access</a:t>
          </a:r>
          <a:r>
            <a:rPr lang="en-US"/>
            <a:t> — suggesting these are more affordable, high-turnover items.</a:t>
          </a:r>
          <a:br>
            <a:rPr lang="en-US"/>
          </a:br>
          <a:r>
            <a:rPr lang="en-US"/>
            <a:t>This reveals a </a:t>
          </a:r>
          <a:r>
            <a:rPr lang="en-US" b="1"/>
            <a:t>two-tier product strategy</a:t>
          </a:r>
          <a:r>
            <a:rPr lang="en-US"/>
            <a:t>: a premium flagship (Enterprise Plan) driving profit, and lower-priced tools driving adoption and engagement.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295275</xdr:colOff>
      <xdr:row>8</xdr:row>
      <xdr:rowOff>23812</xdr:rowOff>
    </xdr:from>
    <xdr:to>
      <xdr:col>15</xdr:col>
      <xdr:colOff>209550</xdr:colOff>
      <xdr:row>24</xdr:row>
      <xdr:rowOff>95250</xdr:rowOff>
    </xdr:to>
    <xdr:graphicFrame macro="">
      <xdr:nvGraphicFramePr>
        <xdr:cNvPr id="2" name="Chart 1">
          <a:extLst>
            <a:ext uri="{FF2B5EF4-FFF2-40B4-BE49-F238E27FC236}">
              <a16:creationId xmlns:a16="http://schemas.microsoft.com/office/drawing/2014/main" id="{BC760E87-8688-0D7A-A004-115582DF2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323850</xdr:colOff>
      <xdr:row>10</xdr:row>
      <xdr:rowOff>4762</xdr:rowOff>
    </xdr:from>
    <xdr:to>
      <xdr:col>7</xdr:col>
      <xdr:colOff>152400</xdr:colOff>
      <xdr:row>24</xdr:row>
      <xdr:rowOff>80962</xdr:rowOff>
    </xdr:to>
    <xdr:graphicFrame macro="">
      <xdr:nvGraphicFramePr>
        <xdr:cNvPr id="3" name="Chart 2">
          <a:extLst>
            <a:ext uri="{FF2B5EF4-FFF2-40B4-BE49-F238E27FC236}">
              <a16:creationId xmlns:a16="http://schemas.microsoft.com/office/drawing/2014/main" id="{7A63AD2D-0532-1D92-107A-67CE18D4E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8</xdr:col>
      <xdr:colOff>0</xdr:colOff>
      <xdr:row>32</xdr:row>
      <xdr:rowOff>0</xdr:rowOff>
    </xdr:to>
    <xdr:sp macro="" textlink="">
      <xdr:nvSpPr>
        <xdr:cNvPr id="4" name="TextBox 3">
          <a:extLst>
            <a:ext uri="{FF2B5EF4-FFF2-40B4-BE49-F238E27FC236}">
              <a16:creationId xmlns:a16="http://schemas.microsoft.com/office/drawing/2014/main" id="{641B08E9-A9A4-B10F-B880-BC890D67ABC6}"/>
            </a:ext>
          </a:extLst>
        </xdr:cNvPr>
        <xdr:cNvSpPr txBox="1"/>
      </xdr:nvSpPr>
      <xdr:spPr>
        <a:xfrm>
          <a:off x="628650" y="4762500"/>
          <a:ext cx="472440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Seasonality plays a major role in performance.</a:t>
          </a:r>
        </a:p>
        <a:p>
          <a:r>
            <a:rPr lang="en-US" b="1"/>
            <a:t>Summer is the top-performing season ($11.6M)</a:t>
          </a:r>
          <a:r>
            <a:rPr lang="en-US"/>
            <a:t>, followed by </a:t>
          </a:r>
          <a:r>
            <a:rPr lang="en-US" b="1"/>
            <a:t>Spring ($8.4M)</a:t>
          </a:r>
          <a:r>
            <a:rPr lang="en-US"/>
            <a:t> and </a:t>
          </a:r>
          <a:r>
            <a:rPr lang="en-US" b="1"/>
            <a:t>Holiday ($7.4M)</a:t>
          </a:r>
          <a:r>
            <a:rPr lang="en-US"/>
            <a:t>.</a:t>
          </a:r>
        </a:p>
        <a:p>
          <a:r>
            <a:rPr lang="en-US" b="1"/>
            <a:t>Winter is the weakest period ($4.4M)</a:t>
          </a:r>
          <a:r>
            <a:rPr lang="en-US"/>
            <a:t>, likely due to post-holiday slowdowns.</a:t>
          </a:r>
        </a:p>
        <a:p>
          <a:r>
            <a:rPr lang="en-US"/>
            <a:t>The trend indicates that </a:t>
          </a:r>
          <a:r>
            <a:rPr lang="en-US" b="1"/>
            <a:t>marketing and promotional budgets should concentrate in Summer and Holiday seasons</a:t>
          </a:r>
          <a:r>
            <a:rPr lang="en-US"/>
            <a:t>, when demand naturally spikes.</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0</xdr:colOff>
      <xdr:row>20</xdr:row>
      <xdr:rowOff>0</xdr:rowOff>
    </xdr:to>
    <xdr:sp macro="" textlink="">
      <xdr:nvSpPr>
        <xdr:cNvPr id="2" name="TextBox 1">
          <a:extLst>
            <a:ext uri="{FF2B5EF4-FFF2-40B4-BE49-F238E27FC236}">
              <a16:creationId xmlns:a16="http://schemas.microsoft.com/office/drawing/2014/main" id="{D84CD1A6-7826-E8F2-9D80-6734B8EAC91E}"/>
            </a:ext>
          </a:extLst>
        </xdr:cNvPr>
        <xdr:cNvSpPr txBox="1"/>
      </xdr:nvSpPr>
      <xdr:spPr>
        <a:xfrm>
          <a:off x="0" y="2314575"/>
          <a:ext cx="7553325"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Loyalty members represent the </a:t>
          </a:r>
          <a:r>
            <a:rPr lang="en-US" b="1"/>
            <a:t>majority of revenue across all regions</a:t>
          </a:r>
          <a:r>
            <a:rPr lang="en-US"/>
            <a:t>, contributing </a:t>
          </a:r>
          <a:r>
            <a:rPr lang="en-US" b="1"/>
            <a:t>roughly 70–75% of total revenue</a:t>
          </a:r>
          <a:r>
            <a:rPr lang="en-US"/>
            <a:t>.</a:t>
          </a:r>
        </a:p>
        <a:p>
          <a:r>
            <a:rPr lang="en-US"/>
            <a:t>Their </a:t>
          </a:r>
          <a:r>
            <a:rPr lang="en-US" b="1"/>
            <a:t>refund rates (≈5%)</a:t>
          </a:r>
          <a:r>
            <a:rPr lang="en-US"/>
            <a:t> are </a:t>
          </a:r>
          <a:r>
            <a:rPr lang="en-US" b="1"/>
            <a:t>similar or slightly lower</a:t>
          </a:r>
          <a:r>
            <a:rPr lang="en-US"/>
            <a:t> than non-loyalty customers, suggesting the </a:t>
          </a:r>
          <a:r>
            <a:rPr lang="en-US" b="1"/>
            <a:t>program enhances retention without increasing dissatisfaction</a:t>
          </a:r>
          <a:r>
            <a:rPr lang="en-US"/>
            <a:t>.</a:t>
          </a:r>
        </a:p>
        <a:p>
          <a:r>
            <a:rPr lang="en-US"/>
            <a:t>Europe and the Americas have the largest loyalty base, together driving over </a:t>
          </a:r>
          <a:r>
            <a:rPr lang="en-US" b="1"/>
            <a:t>$16M in loyal customer revenue</a:t>
          </a:r>
          <a:r>
            <a:rPr lang="en-US"/>
            <a:t>.</a:t>
          </a:r>
        </a:p>
        <a:p>
          <a:r>
            <a:rPr lang="en-US" b="1"/>
            <a:t>Oceania has the highest refund rate (5.8%) among non-loyalty customers</a:t>
          </a:r>
          <a:r>
            <a:rPr lang="en-US"/>
            <a:t>, suggesting possible shipping or service inconsistencies in that region.</a:t>
          </a:r>
        </a:p>
        <a:p>
          <a:r>
            <a:rPr lang="en-US"/>
            <a:t>Overall, the loyalty program appears </a:t>
          </a:r>
          <a:r>
            <a:rPr lang="en-US" b="1"/>
            <a:t>effective and stable</a:t>
          </a:r>
          <a:r>
            <a:rPr lang="en-US"/>
            <a:t>, with </a:t>
          </a:r>
          <a:r>
            <a:rPr lang="en-US" b="1"/>
            <a:t>consistent engagement and high-value customer segments</a:t>
          </a:r>
          <a:r>
            <a:rPr lang="en-US"/>
            <a:t>.</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352424</xdr:colOff>
      <xdr:row>1</xdr:row>
      <xdr:rowOff>42861</xdr:rowOff>
    </xdr:from>
    <xdr:to>
      <xdr:col>11</xdr:col>
      <xdr:colOff>114299</xdr:colOff>
      <xdr:row>19</xdr:row>
      <xdr:rowOff>85725</xdr:rowOff>
    </xdr:to>
    <xdr:graphicFrame macro="">
      <xdr:nvGraphicFramePr>
        <xdr:cNvPr id="3" name="Chart 2">
          <a:extLst>
            <a:ext uri="{FF2B5EF4-FFF2-40B4-BE49-F238E27FC236}">
              <a16:creationId xmlns:a16="http://schemas.microsoft.com/office/drawing/2014/main" id="{85CB0156-AF78-EE05-FA08-492E475EC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0</xdr:rowOff>
    </xdr:from>
    <xdr:to>
      <xdr:col>3</xdr:col>
      <xdr:colOff>0</xdr:colOff>
      <xdr:row>16</xdr:row>
      <xdr:rowOff>0</xdr:rowOff>
    </xdr:to>
    <xdr:sp macro="" textlink="">
      <xdr:nvSpPr>
        <xdr:cNvPr id="4" name="TextBox 3">
          <a:extLst>
            <a:ext uri="{FF2B5EF4-FFF2-40B4-BE49-F238E27FC236}">
              <a16:creationId xmlns:a16="http://schemas.microsoft.com/office/drawing/2014/main" id="{9D122898-141B-EC4A-E579-182ED840313B}"/>
            </a:ext>
          </a:extLst>
        </xdr:cNvPr>
        <xdr:cNvSpPr txBox="1"/>
      </xdr:nvSpPr>
      <xdr:spPr>
        <a:xfrm>
          <a:off x="0" y="1333500"/>
          <a:ext cx="3057525"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Refund rates are </a:t>
          </a:r>
          <a:r>
            <a:rPr lang="en-US" b="1"/>
            <a:t>remarkably consistent across regions (≈5%)</a:t>
          </a:r>
          <a:r>
            <a:rPr lang="en-US"/>
            <a:t>, showing </a:t>
          </a:r>
          <a:r>
            <a:rPr lang="en-US" b="1"/>
            <a:t>no major operational weaknesses geographically</a:t>
          </a:r>
          <a:r>
            <a:rPr lang="en-US"/>
            <a:t>.</a:t>
          </a:r>
        </a:p>
        <a:p>
          <a:r>
            <a:rPr lang="en-US"/>
            <a:t>The </a:t>
          </a:r>
          <a:r>
            <a:rPr lang="en-US" b="1"/>
            <a:t>Americas have the highest refund rate (5.3%)</a:t>
          </a:r>
          <a:r>
            <a:rPr lang="en-US"/>
            <a:t>, though still within a healthy range.</a:t>
          </a:r>
        </a:p>
        <a:p>
          <a:r>
            <a:rPr lang="en-US"/>
            <a:t>This stability reinforces that </a:t>
          </a:r>
          <a:r>
            <a:rPr lang="en-US" b="1"/>
            <a:t>refunds are not regionally driven</a:t>
          </a:r>
          <a:r>
            <a:rPr lang="en-US"/>
            <a:t>, suggesting product or delivery quality is uniform globally.</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0</xdr:rowOff>
    </xdr:from>
    <xdr:to>
      <xdr:col>4</xdr:col>
      <xdr:colOff>0</xdr:colOff>
      <xdr:row>8</xdr:row>
      <xdr:rowOff>0</xdr:rowOff>
    </xdr:to>
    <xdr:sp macro="" textlink="">
      <xdr:nvSpPr>
        <xdr:cNvPr id="2" name="TextBox 1">
          <a:extLst>
            <a:ext uri="{FF2B5EF4-FFF2-40B4-BE49-F238E27FC236}">
              <a16:creationId xmlns:a16="http://schemas.microsoft.com/office/drawing/2014/main" id="{BBD0FD0B-BB3B-2195-DB3F-BAFAACFB2ECA}"/>
            </a:ext>
          </a:extLst>
        </xdr:cNvPr>
        <xdr:cNvSpPr txBox="1"/>
      </xdr:nvSpPr>
      <xdr:spPr>
        <a:xfrm>
          <a:off x="0" y="571500"/>
          <a:ext cx="361950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Orders ship on average within </a:t>
          </a:r>
          <a:r>
            <a:rPr lang="en-US" b="1"/>
            <a:t>2 days</a:t>
          </a:r>
          <a:r>
            <a:rPr lang="en-US"/>
            <a:t> and are delivered within </a:t>
          </a:r>
          <a:r>
            <a:rPr lang="en-US" b="1"/>
            <a:t>3 days</a:t>
          </a:r>
          <a:r>
            <a:rPr lang="en-US"/>
            <a:t>, indicating </a:t>
          </a:r>
          <a:r>
            <a:rPr lang="en-US" b="1"/>
            <a:t>efficient logistics and fulfillment</a:t>
          </a:r>
          <a:r>
            <a:rPr lang="en-US"/>
            <a:t>.</a:t>
          </a:r>
        </a:p>
        <a:p>
          <a:r>
            <a:rPr lang="en-US"/>
            <a:t>Given the low variance, this metric might not warrant deeper visualization unless benchmarked against competitors or SLAs.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et" refreshedDate="45967.458767939817" createdVersion="8" refreshedVersion="8" minRefreshableVersion="3" recordCount="46" xr:uid="{1DF060F2-15A5-4946-8C47-756A0E28EF85}">
  <cacheSource type="worksheet">
    <worksheetSource name="Monthly_Revenue_Trend"/>
  </cacheSource>
  <cacheFields count="5">
    <cacheField name="year" numFmtId="0">
      <sharedItems containsSemiMixedTypes="0" containsString="0" containsNumber="1" containsInteger="1" minValue="2022" maxValue="2025" count="4">
        <n v="2022"/>
        <n v="2023"/>
        <n v="2024"/>
        <n v="2025"/>
      </sharedItems>
    </cacheField>
    <cacheField name="month" numFmtId="0">
      <sharedItems count="12">
        <s v="January"/>
        <s v="February"/>
        <s v="March"/>
        <s v="April"/>
        <s v="May"/>
        <s v="June"/>
        <s v="July"/>
        <s v="August"/>
        <s v="September"/>
        <s v="October"/>
        <s v="November"/>
        <s v="December"/>
      </sharedItems>
    </cacheField>
    <cacheField name="total_revenue" numFmtId="3">
      <sharedItems containsSemiMixedTypes="0" containsString="0" containsNumber="1" minValue="24521.09" maxValue="1347620.85"/>
    </cacheField>
    <cacheField name="total_orders" numFmtId="3">
      <sharedItems containsSemiMixedTypes="0" containsString="0" containsNumber="1" containsInteger="1" minValue="78" maxValue="2665"/>
    </cacheField>
    <cacheField name="avg_order_value" numFmtId="3">
      <sharedItems containsSemiMixedTypes="0" containsString="0" containsNumber="1" minValue="180.02" maxValue="523.35"/>
    </cacheField>
  </cacheFields>
  <extLst>
    <ext xmlns:x14="http://schemas.microsoft.com/office/spreadsheetml/2009/9/main" uri="{725AE2AE-9491-48be-B2B4-4EB974FC3084}">
      <x14:pivotCacheDefinition pivotCacheId="807188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n v="462462.13"/>
    <n v="2569"/>
    <n v="180.02"/>
  </r>
  <r>
    <x v="0"/>
    <x v="1"/>
    <n v="409382.56"/>
    <n v="2237"/>
    <n v="183.01"/>
  </r>
  <r>
    <x v="0"/>
    <x v="2"/>
    <n v="614311.19999999995"/>
    <n v="2653"/>
    <n v="231.55"/>
  </r>
  <r>
    <x v="0"/>
    <x v="3"/>
    <n v="550466.68999999994"/>
    <n v="2488"/>
    <n v="221.25"/>
  </r>
  <r>
    <x v="0"/>
    <x v="4"/>
    <n v="594628.65"/>
    <n v="2623"/>
    <n v="226.7"/>
  </r>
  <r>
    <x v="0"/>
    <x v="5"/>
    <n v="819317.41"/>
    <n v="2514"/>
    <n v="325.89999999999998"/>
  </r>
  <r>
    <x v="0"/>
    <x v="6"/>
    <n v="781884.6"/>
    <n v="2484"/>
    <n v="314.77"/>
  </r>
  <r>
    <x v="0"/>
    <x v="7"/>
    <n v="820504.39"/>
    <n v="2602"/>
    <n v="315.33999999999997"/>
  </r>
  <r>
    <x v="0"/>
    <x v="8"/>
    <n v="557242.93000000005"/>
    <n v="2481"/>
    <n v="224.6"/>
  </r>
  <r>
    <x v="0"/>
    <x v="9"/>
    <n v="567099.48"/>
    <n v="2516"/>
    <n v="225.4"/>
  </r>
  <r>
    <x v="0"/>
    <x v="10"/>
    <n v="1005327.71"/>
    <n v="2407"/>
    <n v="417.67"/>
  </r>
  <r>
    <x v="0"/>
    <x v="11"/>
    <n v="1120755.8"/>
    <n v="2577"/>
    <n v="434.91"/>
  </r>
  <r>
    <x v="1"/>
    <x v="0"/>
    <n v="538990.9"/>
    <n v="2630"/>
    <n v="204.94"/>
  </r>
  <r>
    <x v="1"/>
    <x v="1"/>
    <n v="506785.8"/>
    <n v="2408"/>
    <n v="210.46"/>
  </r>
  <r>
    <x v="1"/>
    <x v="2"/>
    <n v="631628.81000000006"/>
    <n v="2515"/>
    <n v="251.14"/>
  </r>
  <r>
    <x v="1"/>
    <x v="3"/>
    <n v="639920.36"/>
    <n v="2574"/>
    <n v="248.61"/>
  </r>
  <r>
    <x v="1"/>
    <x v="4"/>
    <n v="644113.75"/>
    <n v="2599"/>
    <n v="247.83"/>
  </r>
  <r>
    <x v="1"/>
    <x v="5"/>
    <n v="886985.49"/>
    <n v="2546"/>
    <n v="348.38"/>
  </r>
  <r>
    <x v="1"/>
    <x v="6"/>
    <n v="869207.87"/>
    <n v="2542"/>
    <n v="341.94"/>
  </r>
  <r>
    <x v="1"/>
    <x v="7"/>
    <n v="887811.45"/>
    <n v="2529"/>
    <n v="351.05"/>
  </r>
  <r>
    <x v="1"/>
    <x v="8"/>
    <n v="620975.51"/>
    <n v="2493"/>
    <n v="249.09"/>
  </r>
  <r>
    <x v="1"/>
    <x v="9"/>
    <n v="669739.97"/>
    <n v="2665"/>
    <n v="251.31"/>
  </r>
  <r>
    <x v="1"/>
    <x v="10"/>
    <n v="1119359.47"/>
    <n v="2414"/>
    <n v="463.69"/>
  </r>
  <r>
    <x v="1"/>
    <x v="11"/>
    <n v="1190646.2"/>
    <n v="2570"/>
    <n v="463.29"/>
  </r>
  <r>
    <x v="2"/>
    <x v="0"/>
    <n v="573119.04"/>
    <n v="2602"/>
    <n v="220.26"/>
  </r>
  <r>
    <x v="2"/>
    <x v="1"/>
    <n v="512687.32"/>
    <n v="2355"/>
    <n v="217.7"/>
  </r>
  <r>
    <x v="2"/>
    <x v="2"/>
    <n v="722755.8"/>
    <n v="2602"/>
    <n v="277.77"/>
  </r>
  <r>
    <x v="2"/>
    <x v="3"/>
    <n v="652142.25"/>
    <n v="2447"/>
    <n v="266.51"/>
  </r>
  <r>
    <x v="2"/>
    <x v="4"/>
    <n v="677333.43"/>
    <n v="2527"/>
    <n v="268.04000000000002"/>
  </r>
  <r>
    <x v="2"/>
    <x v="5"/>
    <n v="946033.07"/>
    <n v="2528"/>
    <n v="374.22"/>
  </r>
  <r>
    <x v="2"/>
    <x v="6"/>
    <n v="945777.89"/>
    <n v="2534"/>
    <n v="373.24"/>
  </r>
  <r>
    <x v="2"/>
    <x v="7"/>
    <n v="941870.21"/>
    <n v="2523"/>
    <n v="373.31"/>
  </r>
  <r>
    <x v="2"/>
    <x v="8"/>
    <n v="689517.59"/>
    <n v="2556"/>
    <n v="269.76"/>
  </r>
  <r>
    <x v="2"/>
    <x v="9"/>
    <n v="712716.88"/>
    <n v="2623"/>
    <n v="271.72000000000003"/>
  </r>
  <r>
    <x v="2"/>
    <x v="10"/>
    <n v="1275352.48"/>
    <n v="2496"/>
    <n v="510.96"/>
  </r>
  <r>
    <x v="2"/>
    <x v="11"/>
    <n v="1347620.85"/>
    <n v="2575"/>
    <n v="523.35"/>
  </r>
  <r>
    <x v="3"/>
    <x v="0"/>
    <n v="625505.86"/>
    <n v="2596"/>
    <n v="240.95"/>
  </r>
  <r>
    <x v="3"/>
    <x v="1"/>
    <n v="575455.94999999995"/>
    <n v="2377"/>
    <n v="242.09"/>
  </r>
  <r>
    <x v="3"/>
    <x v="2"/>
    <n v="764661.14"/>
    <n v="2579"/>
    <n v="296.5"/>
  </r>
  <r>
    <x v="3"/>
    <x v="3"/>
    <n v="721737.11"/>
    <n v="2481"/>
    <n v="290.91000000000003"/>
  </r>
  <r>
    <x v="3"/>
    <x v="4"/>
    <n v="775040.1"/>
    <n v="2579"/>
    <n v="300.52"/>
  </r>
  <r>
    <x v="3"/>
    <x v="5"/>
    <n v="1014791.4"/>
    <n v="2554"/>
    <n v="397.33"/>
  </r>
  <r>
    <x v="3"/>
    <x v="6"/>
    <n v="1073066.8999999999"/>
    <n v="2627"/>
    <n v="408.48"/>
  </r>
  <r>
    <x v="3"/>
    <x v="7"/>
    <n v="1032113.03"/>
    <n v="2487"/>
    <n v="415"/>
  </r>
  <r>
    <x v="3"/>
    <x v="8"/>
    <n v="746720.35"/>
    <n v="2522"/>
    <n v="296.08"/>
  </r>
  <r>
    <x v="3"/>
    <x v="9"/>
    <n v="24521.09"/>
    <n v="78"/>
    <n v="314.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D37DBA-245E-4DEE-96E7-2E2B8AA3F761}" name="PivotTable17" cacheId="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G57:I108" firstHeaderRow="1" firstDataRow="1" firstDataCol="2"/>
  <pivotFields count="5">
    <pivotField axis="axisRow" compact="0" outline="0" showAll="0">
      <items count="5">
        <item x="0"/>
        <item x="1"/>
        <item x="2"/>
        <item x="3"/>
        <item t="default"/>
      </items>
    </pivotField>
    <pivotField axis="axisRow" compact="0" outline="0" showAll="0">
      <items count="13">
        <item x="0"/>
        <item x="1"/>
        <item x="2"/>
        <item x="3"/>
        <item x="4"/>
        <item x="5"/>
        <item x="6"/>
        <item x="7"/>
        <item x="8"/>
        <item x="9"/>
        <item x="10"/>
        <item x="11"/>
        <item t="default"/>
      </items>
    </pivotField>
    <pivotField compact="0" numFmtId="3" outline="0" showAll="0"/>
    <pivotField compact="0" numFmtId="3" outline="0" showAll="0"/>
    <pivotField dataField="1" compact="0" numFmtId="3" outline="0" showAll="0"/>
  </pivotFields>
  <rowFields count="2">
    <field x="0"/>
    <field x="1"/>
  </rowFields>
  <rowItems count="51">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t="default">
      <x v="3"/>
    </i>
    <i t="grand">
      <x/>
    </i>
  </rowItems>
  <colItems count="1">
    <i/>
  </colItems>
  <dataFields count="1">
    <dataField name="Sum of avg_order_value" fld="4"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26AFDC-0A22-4EA0-8D27-5A242E4EB494}" name="PivotTable11" cacheId="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G1:I52" firstHeaderRow="1" firstDataRow="1" firstDataCol="2"/>
  <pivotFields count="5">
    <pivotField axis="axisRow" compact="0" outline="0" showAll="0">
      <items count="5">
        <item x="0"/>
        <item x="1"/>
        <item x="2"/>
        <item x="3"/>
        <item t="default"/>
      </items>
    </pivotField>
    <pivotField axis="axisRow" compact="0" outline="0" showAll="0">
      <items count="13">
        <item x="0"/>
        <item x="1"/>
        <item x="2"/>
        <item x="3"/>
        <item x="4"/>
        <item x="5"/>
        <item x="6"/>
        <item x="7"/>
        <item x="8"/>
        <item x="9"/>
        <item x="10"/>
        <item x="11"/>
        <item t="default"/>
      </items>
    </pivotField>
    <pivotField dataField="1" compact="0" numFmtId="3" outline="0" showAll="0"/>
    <pivotField compact="0" numFmtId="3" outline="0" showAll="0"/>
    <pivotField compact="0" numFmtId="3" outline="0" showAll="0"/>
  </pivotFields>
  <rowFields count="2">
    <field x="0"/>
    <field x="1"/>
  </rowFields>
  <rowItems count="51">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t="default">
      <x v="3"/>
    </i>
    <i t="grand">
      <x/>
    </i>
  </rowItems>
  <colItems count="1">
    <i/>
  </colItems>
  <dataFields count="1">
    <dataField name="Sum of total_revenue" fld="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4A97A68-A914-45BE-B9F5-9C0EF0A9F6C2}" autoFormatId="16" applyNumberFormats="0" applyBorderFormats="0" applyFontFormats="0" applyPatternFormats="0" applyAlignmentFormats="0" applyWidthHeightFormats="0">
  <queryTableRefresh nextId="6">
    <queryTableFields count="5">
      <queryTableField id="1" name="year" tableColumnId="6"/>
      <queryTableField id="2" name="month" tableColumnId="2"/>
      <queryTableField id="3" name="total_revenue" tableColumnId="3"/>
      <queryTableField id="4" name="total_orders" tableColumnId="4"/>
      <queryTableField id="5" name="avg_order_valu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6C3FFE80-1A0E-44DF-916B-BBE54F1BFBEA}" autoFormatId="16" applyNumberFormats="0" applyBorderFormats="0" applyFontFormats="0" applyPatternFormats="0" applyAlignmentFormats="0" applyWidthHeightFormats="0">
  <queryTableRefresh nextId="3">
    <queryTableFields count="2">
      <queryTableField id="1" name="product_name" tableColumnId="3"/>
      <queryTableField id="2" name="total_revenu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FC40878-535C-4B8F-A404-8EDBA832A6F0}" autoFormatId="16" applyNumberFormats="0" applyBorderFormats="0" applyFontFormats="0" applyPatternFormats="0" applyAlignmentFormats="0" applyWidthHeightFormats="0">
  <queryTableRefresh nextId="7">
    <queryTableFields count="6">
      <queryTableField id="1" name="product_name" tableColumnId="7"/>
      <queryTableField id="2" name="revenue" tableColumnId="2"/>
      <queryTableField id="3" name="revenue_pct" tableColumnId="3"/>
      <queryTableField id="4" name="AOV" tableColumnId="4"/>
      <queryTableField id="5" name="order_count" tableColumnId="5"/>
      <queryTableField id="6" name="refund_rate_pc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D86CC271-7D23-4A16-B56C-69862B60369E}" autoFormatId="16" applyNumberFormats="0" applyBorderFormats="0" applyFontFormats="0" applyPatternFormats="0" applyAlignmentFormats="0" applyWidthHeightFormats="0">
  <queryTableRefresh nextId="4">
    <queryTableFields count="3">
      <queryTableField id="1" name="region" tableColumnId="4"/>
      <queryTableField id="2" name="total_revenue" tableColumnId="2"/>
      <queryTableField id="3" name="total_orders"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9" xr16:uid="{E4260162-D7DB-423A-855A-0BB56180F110}" autoFormatId="16" applyNumberFormats="0" applyBorderFormats="0" applyFontFormats="0" applyPatternFormats="0" applyAlignmentFormats="0" applyWidthHeightFormats="0">
  <queryTableRefresh nextId="6" unboundColumnsRight="1">
    <queryTableFields count="5">
      <queryTableField id="1" name="region" tableColumnId="5"/>
      <queryTableField id="2" name="product_name" tableColumnId="2"/>
      <queryTableField id="3" name="count_rank" tableColumnId="3"/>
      <queryTableField id="4" name="revenue_rank" tableColumnId="4"/>
      <queryTableField id="5" dataBound="0" tableColumnId="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DB2A657B-835D-48AF-9DFB-965C0616FC95}" autoFormatId="16" applyNumberFormats="0" applyBorderFormats="0" applyFontFormats="0" applyPatternFormats="0" applyAlignmentFormats="0" applyWidthHeightFormats="0">
  <queryTableRefresh nextId="3">
    <queryTableFields count="2">
      <queryTableField id="1" name="season" tableColumnId="3"/>
      <queryTableField id="2" name="total_revenu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4" xr16:uid="{312D32FE-4B0A-4707-8B48-7B1A338215EE}" autoFormatId="16" applyNumberFormats="0" applyBorderFormats="0" applyFontFormats="0" applyPatternFormats="0" applyAlignmentFormats="0" applyWidthHeightFormats="0">
  <queryTableRefresh nextId="8">
    <queryTableFields count="7">
      <queryTableField id="1" name="region" tableColumnId="8"/>
      <queryTableField id="2" name="loyalty_program" tableColumnId="2"/>
      <queryTableField id="3" name="customers" tableColumnId="3"/>
      <queryTableField id="4" name="total_orders" tableColumnId="4"/>
      <queryTableField id="5" name="revenue" tableColumnId="5"/>
      <queryTableField id="6" name="refund_count" tableColumnId="6"/>
      <queryTableField id="7" name="refund_rate_pct"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5" xr16:uid="{4790D5D5-5321-4822-A85B-4DD2C26B4CFE}" autoFormatId="16" applyNumberFormats="0" applyBorderFormats="0" applyFontFormats="0" applyPatternFormats="0" applyAlignmentFormats="0" applyWidthHeightFormats="0">
  <queryTableRefresh nextId="4">
    <queryTableFields count="3">
      <queryTableField id="1" name="region" tableColumnId="4"/>
      <queryTableField id="2" name="total_refunds" tableColumnId="2"/>
      <queryTableField id="3" name="refund_rate_pct"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 xr16:uid="{0B114572-0EAE-4DA2-B8C8-B7465BC93976}" autoFormatId="16" applyNumberFormats="0" applyBorderFormats="0" applyFontFormats="0" applyPatternFormats="0" applyAlignmentFormats="0" applyWidthHeightFormats="0">
  <queryTableRefresh nextId="3">
    <queryTableFields count="2">
      <queryTableField id="1" name="avg_ship_days" tableColumnId="3"/>
      <queryTableField id="2" name="avg_delivery_day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EC59EE-A09A-46F5-B9C2-24C497B71E39}" sourceName="year">
  <pivotTables>
    <pivotTable tabId="14" name="PivotTable11"/>
  </pivotTables>
  <data>
    <tabular pivotCacheId="80718822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864B814-677D-4ED3-A15D-DA6CA077EB28}" sourceName="year">
  <pivotTables>
    <pivotTable tabId="14" name="PivotTable17"/>
  </pivotTables>
  <data>
    <tabular pivotCacheId="80718822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96EA635-83E5-4004-90FB-6B02AE4B82AA}" cache="Slicer_year" caption="year" style="SlicerStyleOther1" rowHeight="241300"/>
  <slicer name="year 1" xr10:uid="{28A5F3BE-7395-4752-B84F-E573F640A9A5}" cache="Slicer_year1" caption="year"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F343414-A49F-4D1F-8850-6C8BC5EB9FDC}" name="Monthly_Revenue_Trend" displayName="Monthly_Revenue_Trend" ref="A1:E47" tableType="queryTable" totalsRowShown="0" headerRowDxfId="17" headerRowBorderDxfId="24" tableBorderDxfId="25" totalsRowBorderDxfId="23">
  <autoFilter ref="A1:E47" xr:uid="{AF343414-A49F-4D1F-8850-6C8BC5EB9FDC}"/>
  <tableColumns count="5">
    <tableColumn id="6" xr3:uid="{BF2B9E07-3651-49F4-8D15-260C2856AAD3}" uniqueName="6" name="year" queryTableFieldId="1" dataDxfId="22"/>
    <tableColumn id="2" xr3:uid="{299DD2E4-1D3C-48FF-A246-78DB46D92136}" uniqueName="2" name="month" queryTableFieldId="2" dataDxfId="21"/>
    <tableColumn id="3" xr3:uid="{DBBFF99A-036B-4CBA-BBF3-DDC1B421D1AB}" uniqueName="3" name="total_revenue" queryTableFieldId="3" dataDxfId="20"/>
    <tableColumn id="4" xr3:uid="{F40EFC2A-2FB7-4AE6-9830-F12F93735CD7}" uniqueName="4" name="total_orders" queryTableFieldId="4" dataDxfId="19"/>
    <tableColumn id="5" xr3:uid="{B223044C-E48A-4B3E-99A9-5F2AD4977A5C}" uniqueName="5" name="avg_order_value" queryTableFieldId="5" dataDxfId="18"/>
  </tableColumns>
  <tableStyleInfo name="TableStyleLight1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A3E8D-7E55-4E88-AF51-490DE8C2885A}" name="Revenue_By_Product" displayName="Revenue_By_Product" ref="A1:B11" tableType="queryTable" totalsRowShown="0">
  <autoFilter ref="A1:B11" xr:uid="{85FA3E8D-7E55-4E88-AF51-490DE8C2885A}"/>
  <tableColumns count="2">
    <tableColumn id="3" xr3:uid="{9E3D828B-B23F-4365-897E-6F4E56578AF0}" uniqueName="3" name="product_name" queryTableFieldId="1" dataDxfId="47"/>
    <tableColumn id="2" xr3:uid="{DF8C3ADC-D538-435C-8AAB-46DF7ECC3100}" uniqueName="2" name="total_revenue" queryTableFieldId="2" dataDxfId="46"/>
  </tableColumns>
  <tableStyleInfo name="TableStyleLight11" showFirstColumn="0"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6C2C76A-4259-4E8E-9084-7BDC6FBD3C87}" name="Product_level_performance_summary" displayName="Product_level_performance_summary" ref="A1:F11" tableType="queryTable" totalsRowShown="0" headerRowDxfId="33" headerRowBorderDxfId="38" tableBorderDxfId="39" totalsRowBorderDxfId="37">
  <autoFilter ref="A1:F11" xr:uid="{C6C2C76A-4259-4E8E-9084-7BDC6FBD3C87}"/>
  <tableColumns count="6">
    <tableColumn id="7" xr3:uid="{1C441D80-7814-42A1-9925-A45A330C76ED}" uniqueName="7" name="product_name" queryTableFieldId="1" dataDxfId="36"/>
    <tableColumn id="2" xr3:uid="{269BBF6E-70DB-4B1A-8865-FF8AB1107F38}" uniqueName="2" name="revenue" queryTableFieldId="2" dataDxfId="32"/>
    <tableColumn id="3" xr3:uid="{22B1ACA6-51DA-47D2-A739-130374B1F2E0}" uniqueName="3" name="revenue_pct" queryTableFieldId="3" dataDxfId="35"/>
    <tableColumn id="4" xr3:uid="{DE30AD1D-ABC8-49D4-B1E5-6E0CD3127693}" uniqueName="4" name="AOV" queryTableFieldId="4" dataDxfId="31"/>
    <tableColumn id="5" xr3:uid="{14FB7C7F-2236-404F-BB1F-E64E777B7C48}" uniqueName="5" name="order_count" queryTableFieldId="5" dataDxfId="30"/>
    <tableColumn id="6" xr3:uid="{22A52AEA-8ADB-451D-B1F5-37099412C73D}" uniqueName="6" name="refund_rate_pct" queryTableFieldId="6" dataDxfId="34"/>
  </tableColumns>
  <tableStyleInfo name="TableStyleMedium1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202D63-476B-4F06-8E4D-CF348B01E22D}" name="Revenue_By_Region" displayName="Revenue_By_Region" ref="A1:C6" tableType="queryTable" totalsRowShown="0">
  <autoFilter ref="A1:C6" xr:uid="{22202D63-476B-4F06-8E4D-CF348B01E22D}"/>
  <tableColumns count="3">
    <tableColumn id="4" xr3:uid="{D99E55A1-AC4A-45BB-BF86-DAB21C44136A}" uniqueName="4" name="region" queryTableFieldId="1" dataDxfId="16"/>
    <tableColumn id="2" xr3:uid="{DD0B0677-7BE5-4A2E-BE1D-54A215646179}" uniqueName="2" name="total_revenue" queryTableFieldId="2" dataDxfId="15"/>
    <tableColumn id="3" xr3:uid="{B49E5232-2266-4764-8EEB-01811A341A3B}" uniqueName="3" name="total_orders" queryTableFieldId="3" dataDxfId="14"/>
  </tableColumns>
  <tableStyleInfo name="TableStyleLight1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06F717-6338-4BE0-BD31-AD127B387952}" name="Top_Product_per_Region" displayName="Top_Product_per_Region" ref="A1:E11" tableType="queryTable" totalsRowShown="0">
  <autoFilter ref="A1:E11" xr:uid="{4B06F717-6338-4BE0-BD31-AD127B387952}"/>
  <tableColumns count="5">
    <tableColumn id="5" xr3:uid="{5B76695D-2CFE-4466-9D9C-8495981BE892}" uniqueName="5" name="region" queryTableFieldId="1" dataDxfId="45"/>
    <tableColumn id="2" xr3:uid="{26D25AC4-7660-4604-8444-02EEC370CCB7}" uniqueName="2" name="product_name" queryTableFieldId="2" dataDxfId="44"/>
    <tableColumn id="3" xr3:uid="{40BC1660-E7C9-46CE-AAE1-37704D61F14C}" uniqueName="3" name="count_rank" queryTableFieldId="3" dataDxfId="43"/>
    <tableColumn id="4" xr3:uid="{D82D3772-2697-444B-904F-0D89B495E2DD}" uniqueName="4" name="revenue_rank" queryTableFieldId="4" dataDxfId="42"/>
    <tableColumn id="1" xr3:uid="{4E503CEE-0A62-462B-B0DF-E02747322347}" uniqueName="1" name="Metric" queryTableFieldId="5" dataDxfId="41">
      <calculatedColumnFormula>IF(Top_Product_per_Region[[#This Row],[revenue_rank]]=1, "Revenue", IF(Top_Product_per_Region[[#This Row],[count_rank]] = 1, "Orders"))</calculatedColumnFormula>
    </tableColumn>
  </tableColumns>
  <tableStyleInfo name="TableStyleMedium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444390C-072C-4A7E-947C-1490F9D6B3FC}" name="Table12" displayName="Table12" ref="A17:C22" totalsRowShown="0">
  <autoFilter ref="A17:C22" xr:uid="{5444390C-072C-4A7E-947C-1490F9D6B3FC}"/>
  <tableColumns count="3">
    <tableColumn id="1" xr3:uid="{50C045D9-17CD-4C1D-80CA-E81DD8167CA6}" name="Region" dataDxfId="40"/>
    <tableColumn id="2" xr3:uid="{9BAEFCBB-08C4-477F-9FAC-BBC78FF5C166}" name="Top Product (Revenue)"/>
    <tableColumn id="3" xr3:uid="{15A7B53E-FB7B-4E03-9DAB-5DDD20890D68}" name="Top Product (Orders)"/>
  </tableColumns>
  <tableStyleInfo name="TableStyleMedium4"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F17614-9337-4B17-BA57-65627E3E95EB}" name="Seasonal_Revenue_Summary" displayName="Seasonal_Revenue_Summary" ref="A1:B6" tableType="queryTable" totalsRowShown="0">
  <autoFilter ref="A1:B6" xr:uid="{A3F17614-9337-4B17-BA57-65627E3E95EB}"/>
  <tableColumns count="2">
    <tableColumn id="3" xr3:uid="{AEC7E5F8-C2AC-443E-8006-946B63295975}" uniqueName="3" name="season" queryTableFieldId="1" dataDxfId="13"/>
    <tableColumn id="2" xr3:uid="{95999A95-36E3-4FB9-9A12-AE57F27B3BD7}" uniqueName="2" name="total_revenue" queryTableFieldId="2" dataDxfId="12"/>
  </tableColumns>
  <tableStyleInfo name="TableStyleLight1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81F9ED0-0037-4C41-948F-0C0072EF2157}" name="Refund_by_Region___Loyalty" displayName="Refund_by_Region___Loyalty" ref="A1:G11" tableType="queryTable" totalsRowShown="0">
  <autoFilter ref="A1:G11" xr:uid="{781F9ED0-0037-4C41-948F-0C0072EF2157}"/>
  <tableColumns count="7">
    <tableColumn id="8" xr3:uid="{E88F9570-CC29-4A91-957D-FDBFFA07E39E}" uniqueName="8" name="region" queryTableFieldId="1" dataDxfId="11"/>
    <tableColumn id="2" xr3:uid="{9FAB307E-BDB5-47EC-BF18-F01EFBBA0AEB}" uniqueName="2" name="loyalty_program" queryTableFieldId="2" dataDxfId="10"/>
    <tableColumn id="3" xr3:uid="{28F1CB43-06AF-414F-8EFA-CE76AA5E3DBD}" uniqueName="3" name="customers" queryTableFieldId="3" dataDxfId="9"/>
    <tableColumn id="4" xr3:uid="{30F82A28-2500-4AC9-A8C2-5C275DF920C1}" uniqueName="4" name="total_orders" queryTableFieldId="4" dataDxfId="8"/>
    <tableColumn id="5" xr3:uid="{0D125B81-5EEE-43C7-8646-8D590FDA3429}" uniqueName="5" name="revenue" queryTableFieldId="5" dataDxfId="5"/>
    <tableColumn id="6" xr3:uid="{0CB21721-A5F8-4AF3-8750-7627AE31D330}" uniqueName="6" name="refund_count" queryTableFieldId="6" dataDxfId="7"/>
    <tableColumn id="7" xr3:uid="{353EB6E7-9BDF-44D6-814F-DB0C9915848A}" uniqueName="7" name="refund_rate_pct" queryTableFieldId="7" dataDxfId="6"/>
  </tableColumns>
  <tableStyleInfo name="TableStyleLight1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4C8AD6-5369-4076-BAD3-5D5D1DE4CC66}" name="Refund_Rate_by_Region" displayName="Refund_Rate_by_Region" ref="A1:C6" tableType="queryTable" totalsRowShown="0">
  <autoFilter ref="A1:C6" xr:uid="{3A4C8AD6-5369-4076-BAD3-5D5D1DE4CC66}"/>
  <sortState xmlns:xlrd2="http://schemas.microsoft.com/office/spreadsheetml/2017/richdata2" ref="A2:C6">
    <sortCondition descending="1" ref="B1:B6"/>
  </sortState>
  <tableColumns count="3">
    <tableColumn id="4" xr3:uid="{72DF1EB7-A5E7-47FF-907B-7448F9138B09}" uniqueName="4" name="region" queryTableFieldId="1" dataDxfId="4"/>
    <tableColumn id="2" xr3:uid="{66E727B7-0792-483D-BFE0-93C264D4DE71}" uniqueName="2" name="total_refunds" queryTableFieldId="2" dataDxfId="3"/>
    <tableColumn id="3" xr3:uid="{71CD6507-FF67-4E31-910F-1D36B3B0FDBA}" uniqueName="3" name="refund_rate_pct (%)" queryTableFieldId="3" dataDxfId="2"/>
  </tableColumns>
  <tableStyleInfo name="TableStyleLight1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6C25CD-3CD6-4212-866B-37199F2ED015}" name="Avg_Shipping___Delivery_Time" displayName="Avg_Shipping___Delivery_Time" ref="A1:B2" tableType="queryTable" totalsRowShown="0">
  <autoFilter ref="A1:B2" xr:uid="{886C25CD-3CD6-4212-866B-37199F2ED015}"/>
  <tableColumns count="2">
    <tableColumn id="3" xr3:uid="{948426D6-7895-4E0C-9CB2-32644AB84814}" uniqueName="3" name="avg_ship_days" queryTableFieldId="1" dataDxfId="1"/>
    <tableColumn id="2" xr3:uid="{083E5885-9647-433A-8028-80FD120E72A7}" uniqueName="2" name="avg_delivery_days" queryTableFieldId="2" dataDxfId="0"/>
  </tableColumns>
  <tableStyleInfo name="TableStyleMedium1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053A4-67EB-443E-B803-746CC6246DE3}">
  <dimension ref="A1:I108"/>
  <sheetViews>
    <sheetView tabSelected="1" topLeftCell="E1" workbookViewId="0">
      <selection activeCell="J51" sqref="J51"/>
    </sheetView>
  </sheetViews>
  <sheetFormatPr defaultRowHeight="15" x14ac:dyDescent="0.25"/>
  <cols>
    <col min="1" max="1" width="7.140625" bestFit="1" customWidth="1"/>
    <col min="2" max="2" width="10.85546875" bestFit="1" customWidth="1"/>
    <col min="3" max="3" width="16" style="5" bestFit="1" customWidth="1"/>
    <col min="4" max="4" width="14.140625" style="5" bestFit="1" customWidth="1"/>
    <col min="5" max="5" width="18.140625" style="5" bestFit="1" customWidth="1"/>
    <col min="7" max="7" width="11.28515625" bestFit="1" customWidth="1"/>
    <col min="8" max="8" width="10.85546875" bestFit="1" customWidth="1"/>
    <col min="9" max="9" width="20.42578125" bestFit="1" customWidth="1"/>
    <col min="10" max="10" width="22.7109375" bestFit="1" customWidth="1"/>
    <col min="20" max="20" width="14.5703125" bestFit="1" customWidth="1"/>
    <col min="21" max="21" width="18.7109375" bestFit="1" customWidth="1"/>
  </cols>
  <sheetData>
    <row r="1" spans="1:9" x14ac:dyDescent="0.25">
      <c r="A1" s="7" t="s">
        <v>0</v>
      </c>
      <c r="B1" s="8" t="s">
        <v>1</v>
      </c>
      <c r="C1" s="20" t="s">
        <v>2</v>
      </c>
      <c r="D1" s="20" t="s">
        <v>27</v>
      </c>
      <c r="E1" s="21" t="s">
        <v>63</v>
      </c>
      <c r="G1" s="19" t="s">
        <v>0</v>
      </c>
      <c r="H1" s="19" t="s">
        <v>1</v>
      </c>
      <c r="I1" t="s">
        <v>62</v>
      </c>
    </row>
    <row r="2" spans="1:9" x14ac:dyDescent="0.25">
      <c r="A2" s="10">
        <v>2022</v>
      </c>
      <c r="B2" s="11" t="s">
        <v>3</v>
      </c>
      <c r="C2" s="17">
        <v>462462.13</v>
      </c>
      <c r="D2" s="17">
        <v>2569</v>
      </c>
      <c r="E2" s="22">
        <v>180.02</v>
      </c>
      <c r="G2">
        <v>2022</v>
      </c>
      <c r="H2" t="s">
        <v>3</v>
      </c>
      <c r="I2" s="5">
        <v>462462.13</v>
      </c>
    </row>
    <row r="3" spans="1:9" x14ac:dyDescent="0.25">
      <c r="A3" s="10">
        <v>2022</v>
      </c>
      <c r="B3" s="11" t="s">
        <v>4</v>
      </c>
      <c r="C3" s="17">
        <v>409382.56</v>
      </c>
      <c r="D3" s="17">
        <v>2237</v>
      </c>
      <c r="E3" s="22">
        <v>183.01</v>
      </c>
      <c r="H3" t="s">
        <v>4</v>
      </c>
      <c r="I3" s="5">
        <v>409382.56</v>
      </c>
    </row>
    <row r="4" spans="1:9" x14ac:dyDescent="0.25">
      <c r="A4" s="10">
        <v>2022</v>
      </c>
      <c r="B4" s="11" t="s">
        <v>5</v>
      </c>
      <c r="C4" s="17">
        <v>614311.19999999995</v>
      </c>
      <c r="D4" s="17">
        <v>2653</v>
      </c>
      <c r="E4" s="22">
        <v>231.55</v>
      </c>
      <c r="H4" t="s">
        <v>5</v>
      </c>
      <c r="I4" s="5">
        <v>614311.19999999995</v>
      </c>
    </row>
    <row r="5" spans="1:9" x14ac:dyDescent="0.25">
      <c r="A5" s="10">
        <v>2022</v>
      </c>
      <c r="B5" s="11" t="s">
        <v>6</v>
      </c>
      <c r="C5" s="17">
        <v>550466.68999999994</v>
      </c>
      <c r="D5" s="17">
        <v>2488</v>
      </c>
      <c r="E5" s="22">
        <v>221.25</v>
      </c>
      <c r="H5" t="s">
        <v>6</v>
      </c>
      <c r="I5" s="5">
        <v>550466.68999999994</v>
      </c>
    </row>
    <row r="6" spans="1:9" x14ac:dyDescent="0.25">
      <c r="A6" s="10">
        <v>2022</v>
      </c>
      <c r="B6" s="11" t="s">
        <v>7</v>
      </c>
      <c r="C6" s="17">
        <v>594628.65</v>
      </c>
      <c r="D6" s="17">
        <v>2623</v>
      </c>
      <c r="E6" s="22">
        <v>226.7</v>
      </c>
      <c r="H6" t="s">
        <v>7</v>
      </c>
      <c r="I6" s="5">
        <v>594628.65</v>
      </c>
    </row>
    <row r="7" spans="1:9" x14ac:dyDescent="0.25">
      <c r="A7" s="10">
        <v>2022</v>
      </c>
      <c r="B7" s="11" t="s">
        <v>8</v>
      </c>
      <c r="C7" s="17">
        <v>819317.41</v>
      </c>
      <c r="D7" s="17">
        <v>2514</v>
      </c>
      <c r="E7" s="22">
        <v>325.89999999999998</v>
      </c>
      <c r="H7" t="s">
        <v>8</v>
      </c>
      <c r="I7" s="5">
        <v>819317.41</v>
      </c>
    </row>
    <row r="8" spans="1:9" x14ac:dyDescent="0.25">
      <c r="A8" s="10">
        <v>2022</v>
      </c>
      <c r="B8" s="11" t="s">
        <v>9</v>
      </c>
      <c r="C8" s="17">
        <v>781884.6</v>
      </c>
      <c r="D8" s="17">
        <v>2484</v>
      </c>
      <c r="E8" s="22">
        <v>314.77</v>
      </c>
      <c r="H8" t="s">
        <v>9</v>
      </c>
      <c r="I8" s="5">
        <v>781884.6</v>
      </c>
    </row>
    <row r="9" spans="1:9" x14ac:dyDescent="0.25">
      <c r="A9" s="10">
        <v>2022</v>
      </c>
      <c r="B9" s="11" t="s">
        <v>10</v>
      </c>
      <c r="C9" s="17">
        <v>820504.39</v>
      </c>
      <c r="D9" s="17">
        <v>2602</v>
      </c>
      <c r="E9" s="22">
        <v>315.33999999999997</v>
      </c>
      <c r="H9" t="s">
        <v>10</v>
      </c>
      <c r="I9" s="5">
        <v>820504.39</v>
      </c>
    </row>
    <row r="10" spans="1:9" x14ac:dyDescent="0.25">
      <c r="A10" s="10">
        <v>2022</v>
      </c>
      <c r="B10" s="11" t="s">
        <v>11</v>
      </c>
      <c r="C10" s="17">
        <v>557242.93000000005</v>
      </c>
      <c r="D10" s="17">
        <v>2481</v>
      </c>
      <c r="E10" s="22">
        <v>224.6</v>
      </c>
      <c r="H10" t="s">
        <v>11</v>
      </c>
      <c r="I10" s="5">
        <v>557242.93000000005</v>
      </c>
    </row>
    <row r="11" spans="1:9" x14ac:dyDescent="0.25">
      <c r="A11" s="10">
        <v>2022</v>
      </c>
      <c r="B11" s="11" t="s">
        <v>12</v>
      </c>
      <c r="C11" s="17">
        <v>567099.48</v>
      </c>
      <c r="D11" s="17">
        <v>2516</v>
      </c>
      <c r="E11" s="22">
        <v>225.4</v>
      </c>
      <c r="H11" t="s">
        <v>12</v>
      </c>
      <c r="I11" s="5">
        <v>567099.48</v>
      </c>
    </row>
    <row r="12" spans="1:9" x14ac:dyDescent="0.25">
      <c r="A12" s="10">
        <v>2022</v>
      </c>
      <c r="B12" s="11" t="s">
        <v>13</v>
      </c>
      <c r="C12" s="17">
        <v>1005327.71</v>
      </c>
      <c r="D12" s="17">
        <v>2407</v>
      </c>
      <c r="E12" s="22">
        <v>417.67</v>
      </c>
      <c r="H12" t="s">
        <v>13</v>
      </c>
      <c r="I12" s="5">
        <v>1005327.71</v>
      </c>
    </row>
    <row r="13" spans="1:9" x14ac:dyDescent="0.25">
      <c r="A13" s="10">
        <v>2022</v>
      </c>
      <c r="B13" s="11" t="s">
        <v>14</v>
      </c>
      <c r="C13" s="17">
        <v>1120755.8</v>
      </c>
      <c r="D13" s="17">
        <v>2577</v>
      </c>
      <c r="E13" s="22">
        <v>434.91</v>
      </c>
      <c r="H13" t="s">
        <v>14</v>
      </c>
      <c r="I13" s="5">
        <v>1120755.8</v>
      </c>
    </row>
    <row r="14" spans="1:9" x14ac:dyDescent="0.25">
      <c r="A14" s="10">
        <v>2023</v>
      </c>
      <c r="B14" s="11" t="s">
        <v>3</v>
      </c>
      <c r="C14" s="17">
        <v>538990.9</v>
      </c>
      <c r="D14" s="17">
        <v>2630</v>
      </c>
      <c r="E14" s="22">
        <v>204.94</v>
      </c>
      <c r="G14" t="s">
        <v>65</v>
      </c>
      <c r="I14" s="5">
        <v>8303383.5499999989</v>
      </c>
    </row>
    <row r="15" spans="1:9" x14ac:dyDescent="0.25">
      <c r="A15" s="10">
        <v>2023</v>
      </c>
      <c r="B15" s="11" t="s">
        <v>4</v>
      </c>
      <c r="C15" s="17">
        <v>506785.8</v>
      </c>
      <c r="D15" s="17">
        <v>2408</v>
      </c>
      <c r="E15" s="22">
        <v>210.46</v>
      </c>
      <c r="G15">
        <v>2023</v>
      </c>
      <c r="H15" t="s">
        <v>3</v>
      </c>
      <c r="I15" s="5">
        <v>538990.9</v>
      </c>
    </row>
    <row r="16" spans="1:9" x14ac:dyDescent="0.25">
      <c r="A16" s="10">
        <v>2023</v>
      </c>
      <c r="B16" s="11" t="s">
        <v>5</v>
      </c>
      <c r="C16" s="17">
        <v>631628.81000000006</v>
      </c>
      <c r="D16" s="17">
        <v>2515</v>
      </c>
      <c r="E16" s="22">
        <v>251.14</v>
      </c>
      <c r="H16" t="s">
        <v>4</v>
      </c>
      <c r="I16" s="5">
        <v>506785.8</v>
      </c>
    </row>
    <row r="17" spans="1:9" x14ac:dyDescent="0.25">
      <c r="A17" s="10">
        <v>2023</v>
      </c>
      <c r="B17" s="11" t="s">
        <v>6</v>
      </c>
      <c r="C17" s="17">
        <v>639920.36</v>
      </c>
      <c r="D17" s="17">
        <v>2574</v>
      </c>
      <c r="E17" s="22">
        <v>248.61</v>
      </c>
      <c r="H17" t="s">
        <v>5</v>
      </c>
      <c r="I17" s="5">
        <v>631628.81000000006</v>
      </c>
    </row>
    <row r="18" spans="1:9" x14ac:dyDescent="0.25">
      <c r="A18" s="10">
        <v>2023</v>
      </c>
      <c r="B18" s="11" t="s">
        <v>7</v>
      </c>
      <c r="C18" s="17">
        <v>644113.75</v>
      </c>
      <c r="D18" s="17">
        <v>2599</v>
      </c>
      <c r="E18" s="22">
        <v>247.83</v>
      </c>
      <c r="H18" t="s">
        <v>6</v>
      </c>
      <c r="I18" s="5">
        <v>639920.36</v>
      </c>
    </row>
    <row r="19" spans="1:9" x14ac:dyDescent="0.25">
      <c r="A19" s="10">
        <v>2023</v>
      </c>
      <c r="B19" s="11" t="s">
        <v>8</v>
      </c>
      <c r="C19" s="17">
        <v>886985.49</v>
      </c>
      <c r="D19" s="17">
        <v>2546</v>
      </c>
      <c r="E19" s="22">
        <v>348.38</v>
      </c>
      <c r="H19" t="s">
        <v>7</v>
      </c>
      <c r="I19" s="5">
        <v>644113.75</v>
      </c>
    </row>
    <row r="20" spans="1:9" x14ac:dyDescent="0.25">
      <c r="A20" s="10">
        <v>2023</v>
      </c>
      <c r="B20" s="11" t="s">
        <v>9</v>
      </c>
      <c r="C20" s="17">
        <v>869207.87</v>
      </c>
      <c r="D20" s="17">
        <v>2542</v>
      </c>
      <c r="E20" s="22">
        <v>341.94</v>
      </c>
      <c r="H20" t="s">
        <v>8</v>
      </c>
      <c r="I20" s="5">
        <v>886985.49</v>
      </c>
    </row>
    <row r="21" spans="1:9" x14ac:dyDescent="0.25">
      <c r="A21" s="10">
        <v>2023</v>
      </c>
      <c r="B21" s="11" t="s">
        <v>10</v>
      </c>
      <c r="C21" s="17">
        <v>887811.45</v>
      </c>
      <c r="D21" s="17">
        <v>2529</v>
      </c>
      <c r="E21" s="22">
        <v>351.05</v>
      </c>
      <c r="H21" t="s">
        <v>9</v>
      </c>
      <c r="I21" s="5">
        <v>869207.87</v>
      </c>
    </row>
    <row r="22" spans="1:9" x14ac:dyDescent="0.25">
      <c r="A22" s="10">
        <v>2023</v>
      </c>
      <c r="B22" s="11" t="s">
        <v>11</v>
      </c>
      <c r="C22" s="17">
        <v>620975.51</v>
      </c>
      <c r="D22" s="17">
        <v>2493</v>
      </c>
      <c r="E22" s="22">
        <v>249.09</v>
      </c>
      <c r="H22" t="s">
        <v>10</v>
      </c>
      <c r="I22" s="5">
        <v>887811.45</v>
      </c>
    </row>
    <row r="23" spans="1:9" x14ac:dyDescent="0.25">
      <c r="A23" s="10">
        <v>2023</v>
      </c>
      <c r="B23" s="11" t="s">
        <v>12</v>
      </c>
      <c r="C23" s="17">
        <v>669739.97</v>
      </c>
      <c r="D23" s="17">
        <v>2665</v>
      </c>
      <c r="E23" s="22">
        <v>251.31</v>
      </c>
      <c r="H23" t="s">
        <v>11</v>
      </c>
      <c r="I23" s="5">
        <v>620975.51</v>
      </c>
    </row>
    <row r="24" spans="1:9" x14ac:dyDescent="0.25">
      <c r="A24" s="10">
        <v>2023</v>
      </c>
      <c r="B24" s="11" t="s">
        <v>13</v>
      </c>
      <c r="C24" s="17">
        <v>1119359.47</v>
      </c>
      <c r="D24" s="17">
        <v>2414</v>
      </c>
      <c r="E24" s="22">
        <v>463.69</v>
      </c>
      <c r="H24" t="s">
        <v>12</v>
      </c>
      <c r="I24" s="5">
        <v>669739.97</v>
      </c>
    </row>
    <row r="25" spans="1:9" x14ac:dyDescent="0.25">
      <c r="A25" s="10">
        <v>2023</v>
      </c>
      <c r="B25" s="11" t="s">
        <v>14</v>
      </c>
      <c r="C25" s="17">
        <v>1190646.2</v>
      </c>
      <c r="D25" s="17">
        <v>2570</v>
      </c>
      <c r="E25" s="22">
        <v>463.29</v>
      </c>
      <c r="H25" t="s">
        <v>13</v>
      </c>
      <c r="I25" s="5">
        <v>1119359.47</v>
      </c>
    </row>
    <row r="26" spans="1:9" x14ac:dyDescent="0.25">
      <c r="A26" s="10">
        <v>2024</v>
      </c>
      <c r="B26" s="11" t="s">
        <v>3</v>
      </c>
      <c r="C26" s="17">
        <v>573119.04</v>
      </c>
      <c r="D26" s="17">
        <v>2602</v>
      </c>
      <c r="E26" s="22">
        <v>220.26</v>
      </c>
      <c r="H26" t="s">
        <v>14</v>
      </c>
      <c r="I26" s="5">
        <v>1190646.2</v>
      </c>
    </row>
    <row r="27" spans="1:9" x14ac:dyDescent="0.25">
      <c r="A27" s="10">
        <v>2024</v>
      </c>
      <c r="B27" s="11" t="s">
        <v>4</v>
      </c>
      <c r="C27" s="17">
        <v>512687.32</v>
      </c>
      <c r="D27" s="17">
        <v>2355</v>
      </c>
      <c r="E27" s="22">
        <v>217.7</v>
      </c>
      <c r="G27" t="s">
        <v>66</v>
      </c>
      <c r="I27" s="5">
        <v>9206165.5800000001</v>
      </c>
    </row>
    <row r="28" spans="1:9" x14ac:dyDescent="0.25">
      <c r="A28" s="10">
        <v>2024</v>
      </c>
      <c r="B28" s="11" t="s">
        <v>5</v>
      </c>
      <c r="C28" s="17">
        <v>722755.8</v>
      </c>
      <c r="D28" s="17">
        <v>2602</v>
      </c>
      <c r="E28" s="22">
        <v>277.77</v>
      </c>
      <c r="G28">
        <v>2024</v>
      </c>
      <c r="H28" t="s">
        <v>3</v>
      </c>
      <c r="I28" s="5">
        <v>573119.04</v>
      </c>
    </row>
    <row r="29" spans="1:9" x14ac:dyDescent="0.25">
      <c r="A29" s="10">
        <v>2024</v>
      </c>
      <c r="B29" s="11" t="s">
        <v>6</v>
      </c>
      <c r="C29" s="17">
        <v>652142.25</v>
      </c>
      <c r="D29" s="17">
        <v>2447</v>
      </c>
      <c r="E29" s="22">
        <v>266.51</v>
      </c>
      <c r="H29" t="s">
        <v>4</v>
      </c>
      <c r="I29" s="5">
        <v>512687.32</v>
      </c>
    </row>
    <row r="30" spans="1:9" x14ac:dyDescent="0.25">
      <c r="A30" s="10">
        <v>2024</v>
      </c>
      <c r="B30" s="11" t="s">
        <v>7</v>
      </c>
      <c r="C30" s="17">
        <v>677333.43</v>
      </c>
      <c r="D30" s="17">
        <v>2527</v>
      </c>
      <c r="E30" s="22">
        <v>268.04000000000002</v>
      </c>
      <c r="H30" t="s">
        <v>5</v>
      </c>
      <c r="I30" s="5">
        <v>722755.8</v>
      </c>
    </row>
    <row r="31" spans="1:9" x14ac:dyDescent="0.25">
      <c r="A31" s="10">
        <v>2024</v>
      </c>
      <c r="B31" s="11" t="s">
        <v>8</v>
      </c>
      <c r="C31" s="17">
        <v>946033.07</v>
      </c>
      <c r="D31" s="17">
        <v>2528</v>
      </c>
      <c r="E31" s="22">
        <v>374.22</v>
      </c>
      <c r="H31" t="s">
        <v>6</v>
      </c>
      <c r="I31" s="5">
        <v>652142.25</v>
      </c>
    </row>
    <row r="32" spans="1:9" x14ac:dyDescent="0.25">
      <c r="A32" s="10">
        <v>2024</v>
      </c>
      <c r="B32" s="11" t="s">
        <v>9</v>
      </c>
      <c r="C32" s="17">
        <v>945777.89</v>
      </c>
      <c r="D32" s="17">
        <v>2534</v>
      </c>
      <c r="E32" s="22">
        <v>373.24</v>
      </c>
      <c r="H32" t="s">
        <v>7</v>
      </c>
      <c r="I32" s="5">
        <v>677333.43</v>
      </c>
    </row>
    <row r="33" spans="1:9" x14ac:dyDescent="0.25">
      <c r="A33" s="10">
        <v>2024</v>
      </c>
      <c r="B33" s="11" t="s">
        <v>10</v>
      </c>
      <c r="C33" s="17">
        <v>941870.21</v>
      </c>
      <c r="D33" s="17">
        <v>2523</v>
      </c>
      <c r="E33" s="22">
        <v>373.31</v>
      </c>
      <c r="H33" t="s">
        <v>8</v>
      </c>
      <c r="I33" s="5">
        <v>946033.07</v>
      </c>
    </row>
    <row r="34" spans="1:9" x14ac:dyDescent="0.25">
      <c r="A34" s="10">
        <v>2024</v>
      </c>
      <c r="B34" s="11" t="s">
        <v>11</v>
      </c>
      <c r="C34" s="17">
        <v>689517.59</v>
      </c>
      <c r="D34" s="17">
        <v>2556</v>
      </c>
      <c r="E34" s="22">
        <v>269.76</v>
      </c>
      <c r="H34" t="s">
        <v>9</v>
      </c>
      <c r="I34" s="5">
        <v>945777.89</v>
      </c>
    </row>
    <row r="35" spans="1:9" x14ac:dyDescent="0.25">
      <c r="A35" s="10">
        <v>2024</v>
      </c>
      <c r="B35" s="11" t="s">
        <v>12</v>
      </c>
      <c r="C35" s="17">
        <v>712716.88</v>
      </c>
      <c r="D35" s="17">
        <v>2623</v>
      </c>
      <c r="E35" s="22">
        <v>271.72000000000003</v>
      </c>
      <c r="H35" t="s">
        <v>10</v>
      </c>
      <c r="I35" s="5">
        <v>941870.21</v>
      </c>
    </row>
    <row r="36" spans="1:9" x14ac:dyDescent="0.25">
      <c r="A36" s="10">
        <v>2024</v>
      </c>
      <c r="B36" s="11" t="s">
        <v>13</v>
      </c>
      <c r="C36" s="17">
        <v>1275352.48</v>
      </c>
      <c r="D36" s="17">
        <v>2496</v>
      </c>
      <c r="E36" s="22">
        <v>510.96</v>
      </c>
      <c r="H36" t="s">
        <v>11</v>
      </c>
      <c r="I36" s="5">
        <v>689517.59</v>
      </c>
    </row>
    <row r="37" spans="1:9" x14ac:dyDescent="0.25">
      <c r="A37" s="10">
        <v>2024</v>
      </c>
      <c r="B37" s="11" t="s">
        <v>14</v>
      </c>
      <c r="C37" s="17">
        <v>1347620.85</v>
      </c>
      <c r="D37" s="17">
        <v>2575</v>
      </c>
      <c r="E37" s="22">
        <v>523.35</v>
      </c>
      <c r="H37" t="s">
        <v>12</v>
      </c>
      <c r="I37" s="5">
        <v>712716.88</v>
      </c>
    </row>
    <row r="38" spans="1:9" x14ac:dyDescent="0.25">
      <c r="A38" s="10">
        <v>2025</v>
      </c>
      <c r="B38" s="11" t="s">
        <v>3</v>
      </c>
      <c r="C38" s="17">
        <v>625505.86</v>
      </c>
      <c r="D38" s="17">
        <v>2596</v>
      </c>
      <c r="E38" s="22">
        <v>240.95</v>
      </c>
      <c r="H38" t="s">
        <v>13</v>
      </c>
      <c r="I38" s="5">
        <v>1275352.48</v>
      </c>
    </row>
    <row r="39" spans="1:9" x14ac:dyDescent="0.25">
      <c r="A39" s="10">
        <v>2025</v>
      </c>
      <c r="B39" s="11" t="s">
        <v>4</v>
      </c>
      <c r="C39" s="17">
        <v>575455.94999999995</v>
      </c>
      <c r="D39" s="17">
        <v>2377</v>
      </c>
      <c r="E39" s="22">
        <v>242.09</v>
      </c>
      <c r="H39" t="s">
        <v>14</v>
      </c>
      <c r="I39" s="5">
        <v>1347620.85</v>
      </c>
    </row>
    <row r="40" spans="1:9" x14ac:dyDescent="0.25">
      <c r="A40" s="10">
        <v>2025</v>
      </c>
      <c r="B40" s="11" t="s">
        <v>5</v>
      </c>
      <c r="C40" s="17">
        <v>764661.14</v>
      </c>
      <c r="D40" s="17">
        <v>2579</v>
      </c>
      <c r="E40" s="22">
        <v>296.5</v>
      </c>
      <c r="G40" t="s">
        <v>67</v>
      </c>
      <c r="I40" s="5">
        <v>9996926.8099999987</v>
      </c>
    </row>
    <row r="41" spans="1:9" x14ac:dyDescent="0.25">
      <c r="A41" s="23">
        <v>2025</v>
      </c>
      <c r="B41" s="11" t="s">
        <v>6</v>
      </c>
      <c r="C41" s="17">
        <v>721737.11</v>
      </c>
      <c r="D41" s="17">
        <v>2481</v>
      </c>
      <c r="E41" s="22">
        <v>290.91000000000003</v>
      </c>
      <c r="G41">
        <v>2025</v>
      </c>
      <c r="H41" t="s">
        <v>3</v>
      </c>
      <c r="I41" s="5">
        <v>625505.86</v>
      </c>
    </row>
    <row r="42" spans="1:9" x14ac:dyDescent="0.25">
      <c r="A42" s="23">
        <v>2025</v>
      </c>
      <c r="B42" s="11" t="s">
        <v>7</v>
      </c>
      <c r="C42" s="17">
        <v>775040.1</v>
      </c>
      <c r="D42" s="17">
        <v>2579</v>
      </c>
      <c r="E42" s="22">
        <v>300.52</v>
      </c>
      <c r="H42" t="s">
        <v>4</v>
      </c>
      <c r="I42" s="5">
        <v>575455.94999999995</v>
      </c>
    </row>
    <row r="43" spans="1:9" x14ac:dyDescent="0.25">
      <c r="A43" s="23">
        <v>2025</v>
      </c>
      <c r="B43" s="11" t="s">
        <v>8</v>
      </c>
      <c r="C43" s="17">
        <v>1014791.4</v>
      </c>
      <c r="D43" s="17">
        <v>2554</v>
      </c>
      <c r="E43" s="22">
        <v>397.33</v>
      </c>
      <c r="H43" t="s">
        <v>5</v>
      </c>
      <c r="I43" s="5">
        <v>764661.14</v>
      </c>
    </row>
    <row r="44" spans="1:9" x14ac:dyDescent="0.25">
      <c r="A44" s="23">
        <v>2025</v>
      </c>
      <c r="B44" s="11" t="s">
        <v>9</v>
      </c>
      <c r="C44" s="17">
        <v>1073066.8999999999</v>
      </c>
      <c r="D44" s="17">
        <v>2627</v>
      </c>
      <c r="E44" s="22">
        <v>408.48</v>
      </c>
      <c r="H44" t="s">
        <v>6</v>
      </c>
      <c r="I44" s="5">
        <v>721737.11</v>
      </c>
    </row>
    <row r="45" spans="1:9" x14ac:dyDescent="0.25">
      <c r="A45" s="23">
        <v>2025</v>
      </c>
      <c r="B45" s="11" t="s">
        <v>10</v>
      </c>
      <c r="C45" s="17">
        <v>1032113.03</v>
      </c>
      <c r="D45" s="17">
        <v>2487</v>
      </c>
      <c r="E45" s="22">
        <v>415</v>
      </c>
      <c r="H45" t="s">
        <v>7</v>
      </c>
      <c r="I45" s="5">
        <v>775040.1</v>
      </c>
    </row>
    <row r="46" spans="1:9" x14ac:dyDescent="0.25">
      <c r="A46" s="23">
        <v>2025</v>
      </c>
      <c r="B46" s="11" t="s">
        <v>11</v>
      </c>
      <c r="C46" s="17">
        <v>746720.35</v>
      </c>
      <c r="D46" s="17">
        <v>2522</v>
      </c>
      <c r="E46" s="22">
        <v>296.08</v>
      </c>
      <c r="H46" t="s">
        <v>8</v>
      </c>
      <c r="I46" s="5">
        <v>1014791.4</v>
      </c>
    </row>
    <row r="47" spans="1:9" x14ac:dyDescent="0.25">
      <c r="A47" s="16">
        <v>2025</v>
      </c>
      <c r="B47" s="14" t="s">
        <v>12</v>
      </c>
      <c r="C47" s="18">
        <v>24521.09</v>
      </c>
      <c r="D47" s="18">
        <v>78</v>
      </c>
      <c r="E47" s="24">
        <v>314.37</v>
      </c>
      <c r="H47" t="s">
        <v>9</v>
      </c>
      <c r="I47" s="5">
        <v>1073066.8999999999</v>
      </c>
    </row>
    <row r="48" spans="1:9" x14ac:dyDescent="0.25">
      <c r="H48" t="s">
        <v>10</v>
      </c>
      <c r="I48" s="5">
        <v>1032113.03</v>
      </c>
    </row>
    <row r="49" spans="7:9" x14ac:dyDescent="0.25">
      <c r="H49" t="s">
        <v>11</v>
      </c>
      <c r="I49" s="5">
        <v>746720.35</v>
      </c>
    </row>
    <row r="50" spans="7:9" x14ac:dyDescent="0.25">
      <c r="H50" t="s">
        <v>12</v>
      </c>
      <c r="I50" s="5">
        <v>24521.09</v>
      </c>
    </row>
    <row r="51" spans="7:9" x14ac:dyDescent="0.25">
      <c r="G51" t="s">
        <v>68</v>
      </c>
      <c r="I51" s="5">
        <v>7353612.9300000006</v>
      </c>
    </row>
    <row r="52" spans="7:9" x14ac:dyDescent="0.25">
      <c r="G52" t="s">
        <v>61</v>
      </c>
      <c r="I52" s="5">
        <v>34860088.870000005</v>
      </c>
    </row>
    <row r="57" spans="7:9" x14ac:dyDescent="0.25">
      <c r="G57" s="19" t="s">
        <v>0</v>
      </c>
      <c r="H57" s="19" t="s">
        <v>1</v>
      </c>
      <c r="I57" t="s">
        <v>64</v>
      </c>
    </row>
    <row r="58" spans="7:9" x14ac:dyDescent="0.25">
      <c r="G58">
        <v>2022</v>
      </c>
      <c r="H58" t="s">
        <v>3</v>
      </c>
      <c r="I58" s="5">
        <v>180.02</v>
      </c>
    </row>
    <row r="59" spans="7:9" x14ac:dyDescent="0.25">
      <c r="H59" t="s">
        <v>4</v>
      </c>
      <c r="I59" s="5">
        <v>183.01</v>
      </c>
    </row>
    <row r="60" spans="7:9" x14ac:dyDescent="0.25">
      <c r="H60" t="s">
        <v>5</v>
      </c>
      <c r="I60" s="5">
        <v>231.55</v>
      </c>
    </row>
    <row r="61" spans="7:9" x14ac:dyDescent="0.25">
      <c r="H61" t="s">
        <v>6</v>
      </c>
      <c r="I61" s="5">
        <v>221.25</v>
      </c>
    </row>
    <row r="62" spans="7:9" x14ac:dyDescent="0.25">
      <c r="H62" t="s">
        <v>7</v>
      </c>
      <c r="I62" s="5">
        <v>226.7</v>
      </c>
    </row>
    <row r="63" spans="7:9" x14ac:dyDescent="0.25">
      <c r="H63" t="s">
        <v>8</v>
      </c>
      <c r="I63" s="5">
        <v>325.89999999999998</v>
      </c>
    </row>
    <row r="64" spans="7:9" x14ac:dyDescent="0.25">
      <c r="H64" t="s">
        <v>9</v>
      </c>
      <c r="I64" s="5">
        <v>314.77</v>
      </c>
    </row>
    <row r="65" spans="7:9" x14ac:dyDescent="0.25">
      <c r="H65" t="s">
        <v>10</v>
      </c>
      <c r="I65" s="5">
        <v>315.33999999999997</v>
      </c>
    </row>
    <row r="66" spans="7:9" x14ac:dyDescent="0.25">
      <c r="H66" t="s">
        <v>11</v>
      </c>
      <c r="I66" s="5">
        <v>224.6</v>
      </c>
    </row>
    <row r="67" spans="7:9" x14ac:dyDescent="0.25">
      <c r="H67" t="s">
        <v>12</v>
      </c>
      <c r="I67" s="5">
        <v>225.4</v>
      </c>
    </row>
    <row r="68" spans="7:9" x14ac:dyDescent="0.25">
      <c r="H68" t="s">
        <v>13</v>
      </c>
      <c r="I68" s="5">
        <v>417.67</v>
      </c>
    </row>
    <row r="69" spans="7:9" x14ac:dyDescent="0.25">
      <c r="H69" t="s">
        <v>14</v>
      </c>
      <c r="I69" s="5">
        <v>434.91</v>
      </c>
    </row>
    <row r="70" spans="7:9" x14ac:dyDescent="0.25">
      <c r="G70" t="s">
        <v>65</v>
      </c>
      <c r="I70" s="5">
        <v>3301.12</v>
      </c>
    </row>
    <row r="71" spans="7:9" x14ac:dyDescent="0.25">
      <c r="G71">
        <v>2023</v>
      </c>
      <c r="H71" t="s">
        <v>3</v>
      </c>
      <c r="I71" s="5">
        <v>204.94</v>
      </c>
    </row>
    <row r="72" spans="7:9" x14ac:dyDescent="0.25">
      <c r="H72" t="s">
        <v>4</v>
      </c>
      <c r="I72" s="5">
        <v>210.46</v>
      </c>
    </row>
    <row r="73" spans="7:9" x14ac:dyDescent="0.25">
      <c r="H73" t="s">
        <v>5</v>
      </c>
      <c r="I73" s="5">
        <v>251.14</v>
      </c>
    </row>
    <row r="74" spans="7:9" x14ac:dyDescent="0.25">
      <c r="H74" t="s">
        <v>6</v>
      </c>
      <c r="I74" s="5">
        <v>248.61</v>
      </c>
    </row>
    <row r="75" spans="7:9" x14ac:dyDescent="0.25">
      <c r="H75" t="s">
        <v>7</v>
      </c>
      <c r="I75" s="5">
        <v>247.83</v>
      </c>
    </row>
    <row r="76" spans="7:9" x14ac:dyDescent="0.25">
      <c r="H76" t="s">
        <v>8</v>
      </c>
      <c r="I76" s="5">
        <v>348.38</v>
      </c>
    </row>
    <row r="77" spans="7:9" x14ac:dyDescent="0.25">
      <c r="H77" t="s">
        <v>9</v>
      </c>
      <c r="I77" s="5">
        <v>341.94</v>
      </c>
    </row>
    <row r="78" spans="7:9" x14ac:dyDescent="0.25">
      <c r="H78" t="s">
        <v>10</v>
      </c>
      <c r="I78" s="5">
        <v>351.05</v>
      </c>
    </row>
    <row r="79" spans="7:9" x14ac:dyDescent="0.25">
      <c r="H79" t="s">
        <v>11</v>
      </c>
      <c r="I79" s="5">
        <v>249.09</v>
      </c>
    </row>
    <row r="80" spans="7:9" x14ac:dyDescent="0.25">
      <c r="H80" t="s">
        <v>12</v>
      </c>
      <c r="I80" s="5">
        <v>251.31</v>
      </c>
    </row>
    <row r="81" spans="7:9" x14ac:dyDescent="0.25">
      <c r="H81" t="s">
        <v>13</v>
      </c>
      <c r="I81" s="5">
        <v>463.69</v>
      </c>
    </row>
    <row r="82" spans="7:9" x14ac:dyDescent="0.25">
      <c r="H82" t="s">
        <v>14</v>
      </c>
      <c r="I82" s="5">
        <v>463.29</v>
      </c>
    </row>
    <row r="83" spans="7:9" x14ac:dyDescent="0.25">
      <c r="G83" t="s">
        <v>66</v>
      </c>
      <c r="I83" s="5">
        <v>3631.7300000000005</v>
      </c>
    </row>
    <row r="84" spans="7:9" x14ac:dyDescent="0.25">
      <c r="G84">
        <v>2024</v>
      </c>
      <c r="H84" t="s">
        <v>3</v>
      </c>
      <c r="I84" s="5">
        <v>220.26</v>
      </c>
    </row>
    <row r="85" spans="7:9" x14ac:dyDescent="0.25">
      <c r="H85" t="s">
        <v>4</v>
      </c>
      <c r="I85" s="5">
        <v>217.7</v>
      </c>
    </row>
    <row r="86" spans="7:9" x14ac:dyDescent="0.25">
      <c r="H86" t="s">
        <v>5</v>
      </c>
      <c r="I86" s="5">
        <v>277.77</v>
      </c>
    </row>
    <row r="87" spans="7:9" x14ac:dyDescent="0.25">
      <c r="H87" t="s">
        <v>6</v>
      </c>
      <c r="I87" s="5">
        <v>266.51</v>
      </c>
    </row>
    <row r="88" spans="7:9" x14ac:dyDescent="0.25">
      <c r="H88" t="s">
        <v>7</v>
      </c>
      <c r="I88" s="5">
        <v>268.04000000000002</v>
      </c>
    </row>
    <row r="89" spans="7:9" x14ac:dyDescent="0.25">
      <c r="H89" t="s">
        <v>8</v>
      </c>
      <c r="I89" s="5">
        <v>374.22</v>
      </c>
    </row>
    <row r="90" spans="7:9" x14ac:dyDescent="0.25">
      <c r="H90" t="s">
        <v>9</v>
      </c>
      <c r="I90" s="5">
        <v>373.24</v>
      </c>
    </row>
    <row r="91" spans="7:9" x14ac:dyDescent="0.25">
      <c r="H91" t="s">
        <v>10</v>
      </c>
      <c r="I91" s="5">
        <v>373.31</v>
      </c>
    </row>
    <row r="92" spans="7:9" x14ac:dyDescent="0.25">
      <c r="H92" t="s">
        <v>11</v>
      </c>
      <c r="I92" s="5">
        <v>269.76</v>
      </c>
    </row>
    <row r="93" spans="7:9" x14ac:dyDescent="0.25">
      <c r="H93" t="s">
        <v>12</v>
      </c>
      <c r="I93" s="5">
        <v>271.72000000000003</v>
      </c>
    </row>
    <row r="94" spans="7:9" x14ac:dyDescent="0.25">
      <c r="H94" t="s">
        <v>13</v>
      </c>
      <c r="I94" s="5">
        <v>510.96</v>
      </c>
    </row>
    <row r="95" spans="7:9" x14ac:dyDescent="0.25">
      <c r="H95" t="s">
        <v>14</v>
      </c>
      <c r="I95" s="5">
        <v>523.35</v>
      </c>
    </row>
    <row r="96" spans="7:9" x14ac:dyDescent="0.25">
      <c r="G96" t="s">
        <v>67</v>
      </c>
      <c r="I96" s="5">
        <v>3946.8400000000006</v>
      </c>
    </row>
    <row r="97" spans="7:9" x14ac:dyDescent="0.25">
      <c r="G97">
        <v>2025</v>
      </c>
      <c r="H97" t="s">
        <v>3</v>
      </c>
      <c r="I97" s="5">
        <v>240.95</v>
      </c>
    </row>
    <row r="98" spans="7:9" x14ac:dyDescent="0.25">
      <c r="H98" t="s">
        <v>4</v>
      </c>
      <c r="I98" s="5">
        <v>242.09</v>
      </c>
    </row>
    <row r="99" spans="7:9" x14ac:dyDescent="0.25">
      <c r="H99" t="s">
        <v>5</v>
      </c>
      <c r="I99" s="5">
        <v>296.5</v>
      </c>
    </row>
    <row r="100" spans="7:9" x14ac:dyDescent="0.25">
      <c r="H100" t="s">
        <v>6</v>
      </c>
      <c r="I100" s="5">
        <v>290.91000000000003</v>
      </c>
    </row>
    <row r="101" spans="7:9" x14ac:dyDescent="0.25">
      <c r="H101" t="s">
        <v>7</v>
      </c>
      <c r="I101" s="5">
        <v>300.52</v>
      </c>
    </row>
    <row r="102" spans="7:9" x14ac:dyDescent="0.25">
      <c r="H102" t="s">
        <v>8</v>
      </c>
      <c r="I102" s="5">
        <v>397.33</v>
      </c>
    </row>
    <row r="103" spans="7:9" x14ac:dyDescent="0.25">
      <c r="H103" t="s">
        <v>9</v>
      </c>
      <c r="I103" s="5">
        <v>408.48</v>
      </c>
    </row>
    <row r="104" spans="7:9" x14ac:dyDescent="0.25">
      <c r="H104" t="s">
        <v>10</v>
      </c>
      <c r="I104" s="5">
        <v>415</v>
      </c>
    </row>
    <row r="105" spans="7:9" x14ac:dyDescent="0.25">
      <c r="H105" t="s">
        <v>11</v>
      </c>
      <c r="I105" s="5">
        <v>296.08</v>
      </c>
    </row>
    <row r="106" spans="7:9" x14ac:dyDescent="0.25">
      <c r="H106" t="s">
        <v>12</v>
      </c>
      <c r="I106" s="5">
        <v>314.37</v>
      </c>
    </row>
    <row r="107" spans="7:9" x14ac:dyDescent="0.25">
      <c r="G107" t="s">
        <v>68</v>
      </c>
      <c r="I107" s="5">
        <v>3202.2299999999996</v>
      </c>
    </row>
    <row r="108" spans="7:9" x14ac:dyDescent="0.25">
      <c r="G108" t="s">
        <v>61</v>
      </c>
      <c r="I108" s="5">
        <v>14081.92</v>
      </c>
    </row>
  </sheetData>
  <phoneticPr fontId="1" type="noConversion"/>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3E3B-1B04-4EA2-8874-570621ED40EE}">
  <dimension ref="A1:B11"/>
  <sheetViews>
    <sheetView workbookViewId="0">
      <selection activeCell="H37" sqref="H37"/>
    </sheetView>
  </sheetViews>
  <sheetFormatPr defaultRowHeight="15" x14ac:dyDescent="0.25"/>
  <cols>
    <col min="1" max="1" width="20.7109375" bestFit="1" customWidth="1"/>
    <col min="2" max="2" width="16" bestFit="1" customWidth="1"/>
  </cols>
  <sheetData>
    <row r="1" spans="1:2" x14ac:dyDescent="0.25">
      <c r="A1" t="s">
        <v>15</v>
      </c>
      <c r="B1" t="s">
        <v>2</v>
      </c>
    </row>
    <row r="2" spans="1:2" x14ac:dyDescent="0.25">
      <c r="A2" t="s">
        <v>16</v>
      </c>
      <c r="B2" s="5">
        <v>9742252.8200000003</v>
      </c>
    </row>
    <row r="3" spans="1:2" x14ac:dyDescent="0.25">
      <c r="A3" t="s">
        <v>17</v>
      </c>
      <c r="B3" s="5">
        <v>4870806.8600000003</v>
      </c>
    </row>
    <row r="4" spans="1:2" x14ac:dyDescent="0.25">
      <c r="A4" t="s">
        <v>18</v>
      </c>
      <c r="B4" s="5">
        <v>3241681.02</v>
      </c>
    </row>
    <row r="5" spans="1:2" x14ac:dyDescent="0.25">
      <c r="A5" t="s">
        <v>19</v>
      </c>
      <c r="B5" s="5">
        <v>2865392.47</v>
      </c>
    </row>
    <row r="6" spans="1:2" x14ac:dyDescent="0.25">
      <c r="A6" t="s">
        <v>20</v>
      </c>
      <c r="B6" s="5">
        <v>2827868.3</v>
      </c>
    </row>
    <row r="7" spans="1:2" x14ac:dyDescent="0.25">
      <c r="A7" t="s">
        <v>21</v>
      </c>
      <c r="B7" s="5">
        <v>2826360.86</v>
      </c>
    </row>
    <row r="8" spans="1:2" x14ac:dyDescent="0.25">
      <c r="A8" t="s">
        <v>22</v>
      </c>
      <c r="B8" s="5">
        <v>2803994.6</v>
      </c>
    </row>
    <row r="9" spans="1:2" x14ac:dyDescent="0.25">
      <c r="A9" t="s">
        <v>23</v>
      </c>
      <c r="B9" s="5">
        <v>2788713.8</v>
      </c>
    </row>
    <row r="10" spans="1:2" x14ac:dyDescent="0.25">
      <c r="A10" t="s">
        <v>24</v>
      </c>
      <c r="B10" s="5">
        <v>2788086.41</v>
      </c>
    </row>
    <row r="11" spans="1:2" x14ac:dyDescent="0.25">
      <c r="A11" t="s">
        <v>25</v>
      </c>
      <c r="B11" s="5">
        <v>1977647.39</v>
      </c>
    </row>
  </sheetData>
  <phoneticPr fontId="1"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D2972-F01E-4A0C-83EC-686FC342FADE}">
  <dimension ref="A1:F11"/>
  <sheetViews>
    <sheetView workbookViewId="0">
      <selection activeCell="D23" sqref="D23"/>
    </sheetView>
  </sheetViews>
  <sheetFormatPr defaultRowHeight="15" x14ac:dyDescent="0.25"/>
  <cols>
    <col min="1" max="1" width="20.7109375" bestFit="1" customWidth="1"/>
    <col min="2" max="2" width="10.7109375" bestFit="1" customWidth="1"/>
    <col min="3" max="3" width="14.42578125" bestFit="1" customWidth="1"/>
    <col min="4" max="4" width="7.28515625" bestFit="1" customWidth="1"/>
    <col min="5" max="5" width="14.140625" bestFit="1" customWidth="1"/>
    <col min="6" max="6" width="17.7109375" bestFit="1" customWidth="1"/>
  </cols>
  <sheetData>
    <row r="1" spans="1:6" x14ac:dyDescent="0.25">
      <c r="A1" s="7" t="s">
        <v>15</v>
      </c>
      <c r="B1" s="8" t="s">
        <v>51</v>
      </c>
      <c r="C1" s="8" t="s">
        <v>52</v>
      </c>
      <c r="D1" s="8" t="s">
        <v>53</v>
      </c>
      <c r="E1" s="8" t="s">
        <v>54</v>
      </c>
      <c r="F1" s="9" t="s">
        <v>55</v>
      </c>
    </row>
    <row r="2" spans="1:6" x14ac:dyDescent="0.25">
      <c r="A2" s="10" t="s">
        <v>16</v>
      </c>
      <c r="B2" s="17">
        <v>9742252.8200000003</v>
      </c>
      <c r="C2" s="11">
        <v>26.52</v>
      </c>
      <c r="D2" s="17">
        <v>814.77</v>
      </c>
      <c r="E2" s="17">
        <v>11957</v>
      </c>
      <c r="F2" s="12">
        <v>5.27</v>
      </c>
    </row>
    <row r="3" spans="1:6" x14ac:dyDescent="0.25">
      <c r="A3" s="10" t="s">
        <v>17</v>
      </c>
      <c r="B3" s="17">
        <v>4870806.8600000003</v>
      </c>
      <c r="C3" s="11">
        <v>13.26</v>
      </c>
      <c r="D3" s="17">
        <v>403.81</v>
      </c>
      <c r="E3" s="17">
        <v>12062</v>
      </c>
      <c r="F3" s="12">
        <v>5.26</v>
      </c>
    </row>
    <row r="4" spans="1:6" x14ac:dyDescent="0.25">
      <c r="A4" s="10" t="s">
        <v>18</v>
      </c>
      <c r="B4" s="17">
        <v>3241681.02</v>
      </c>
      <c r="C4" s="11">
        <v>8.83</v>
      </c>
      <c r="D4" s="17">
        <v>267.69</v>
      </c>
      <c r="E4" s="17">
        <v>12110</v>
      </c>
      <c r="F4" s="12">
        <v>5.31</v>
      </c>
    </row>
    <row r="5" spans="1:6" x14ac:dyDescent="0.25">
      <c r="A5" s="10" t="s">
        <v>19</v>
      </c>
      <c r="B5" s="17">
        <v>2865392.47</v>
      </c>
      <c r="C5" s="11">
        <v>7.8</v>
      </c>
      <c r="D5" s="17">
        <v>238.72</v>
      </c>
      <c r="E5" s="17">
        <v>12003</v>
      </c>
      <c r="F5" s="12">
        <v>4.92</v>
      </c>
    </row>
    <row r="6" spans="1:6" x14ac:dyDescent="0.25">
      <c r="A6" s="10" t="s">
        <v>20</v>
      </c>
      <c r="B6" s="17">
        <v>2827868.3</v>
      </c>
      <c r="C6" s="11">
        <v>7.7</v>
      </c>
      <c r="D6" s="17">
        <v>236.13</v>
      </c>
      <c r="E6" s="17">
        <v>11976</v>
      </c>
      <c r="F6" s="12">
        <v>4.6900000000000004</v>
      </c>
    </row>
    <row r="7" spans="1:6" x14ac:dyDescent="0.25">
      <c r="A7" s="10" t="s">
        <v>21</v>
      </c>
      <c r="B7" s="17">
        <v>2826360.86</v>
      </c>
      <c r="C7" s="11">
        <v>7.69</v>
      </c>
      <c r="D7" s="17">
        <v>236.02</v>
      </c>
      <c r="E7" s="17">
        <v>11975</v>
      </c>
      <c r="F7" s="12">
        <v>4.7</v>
      </c>
    </row>
    <row r="8" spans="1:6" x14ac:dyDescent="0.25">
      <c r="A8" s="10" t="s">
        <v>22</v>
      </c>
      <c r="B8" s="17">
        <v>2803994.6</v>
      </c>
      <c r="C8" s="11">
        <v>7.63</v>
      </c>
      <c r="D8" s="17">
        <v>235.73</v>
      </c>
      <c r="E8" s="17">
        <v>11895</v>
      </c>
      <c r="F8" s="12">
        <v>4.9800000000000004</v>
      </c>
    </row>
    <row r="9" spans="1:6" x14ac:dyDescent="0.25">
      <c r="A9" s="10" t="s">
        <v>23</v>
      </c>
      <c r="B9" s="17">
        <v>2788713.8</v>
      </c>
      <c r="C9" s="11">
        <v>7.59</v>
      </c>
      <c r="D9" s="17">
        <v>234.78</v>
      </c>
      <c r="E9" s="17">
        <v>11878</v>
      </c>
      <c r="F9" s="12">
        <v>5.31</v>
      </c>
    </row>
    <row r="10" spans="1:6" x14ac:dyDescent="0.25">
      <c r="A10" s="10" t="s">
        <v>24</v>
      </c>
      <c r="B10" s="17">
        <v>2788086.41</v>
      </c>
      <c r="C10" s="11">
        <v>7.59</v>
      </c>
      <c r="D10" s="17">
        <v>233.82</v>
      </c>
      <c r="E10" s="17">
        <v>11924</v>
      </c>
      <c r="F10" s="12">
        <v>5.4</v>
      </c>
    </row>
    <row r="11" spans="1:6" x14ac:dyDescent="0.25">
      <c r="A11" s="13" t="s">
        <v>25</v>
      </c>
      <c r="B11" s="18">
        <v>1977647.39</v>
      </c>
      <c r="C11" s="14">
        <v>5.38</v>
      </c>
      <c r="D11" s="18">
        <v>161.84</v>
      </c>
      <c r="E11" s="18">
        <v>12220</v>
      </c>
      <c r="F11" s="15">
        <v>5.12</v>
      </c>
    </row>
  </sheetData>
  <phoneticPr fontId="1" type="noConversion"/>
  <conditionalFormatting sqref="B2:B11">
    <cfRule type="dataBar" priority="6">
      <dataBar>
        <cfvo type="min"/>
        <cfvo type="max"/>
        <color rgb="FF63C384"/>
      </dataBar>
      <extLst>
        <ext xmlns:x14="http://schemas.microsoft.com/office/spreadsheetml/2009/9/main" uri="{B025F937-C7B1-47D3-B67F-A62EFF666E3E}">
          <x14:id>{DE371665-B01B-4C9F-8B51-FFCA000E6AE7}</x14:id>
        </ext>
      </extLst>
    </cfRule>
  </conditionalFormatting>
  <conditionalFormatting sqref="C2:C11">
    <cfRule type="colorScale" priority="5">
      <colorScale>
        <cfvo type="min"/>
        <cfvo type="percentile" val="50"/>
        <cfvo type="max"/>
        <color rgb="FFF8696B"/>
        <color rgb="FFFFEB84"/>
        <color rgb="FF63BE7B"/>
      </colorScale>
    </cfRule>
  </conditionalFormatting>
  <conditionalFormatting sqref="D2:D11">
    <cfRule type="colorScale" priority="1">
      <colorScale>
        <cfvo type="min"/>
        <cfvo type="percentile" val="50"/>
        <cfvo type="max"/>
        <color rgb="FFF8696B"/>
        <color rgb="FFFCFCFF"/>
        <color rgb="FF63BE7B"/>
      </colorScale>
    </cfRule>
    <cfRule type="aboveAverage" dxfId="29" priority="3" aboveAverage="0"/>
    <cfRule type="aboveAverage" dxfId="28" priority="4"/>
  </conditionalFormatting>
  <conditionalFormatting sqref="F2:F11">
    <cfRule type="colorScale" priority="2">
      <colorScale>
        <cfvo type="min"/>
        <cfvo type="percentile" val="50"/>
        <cfvo type="max"/>
        <color rgb="FF63BE7B"/>
        <color rgb="FFFCFCFF"/>
        <color rgb="FFF8696B"/>
      </colorScale>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E371665-B01B-4C9F-8B51-FFCA000E6AE7}">
            <x14:dataBar minLength="0" maxLength="100" border="1" negativeBarBorderColorSameAsPositive="0">
              <x14:cfvo type="autoMin"/>
              <x14:cfvo type="autoMax"/>
              <x14:borderColor rgb="FF63C384"/>
              <x14:negativeFillColor rgb="FFFF0000"/>
              <x14:negativeBorderColor rgb="FFFF0000"/>
              <x14:axisColor rgb="FF000000"/>
            </x14:dataBar>
          </x14:cfRule>
          <xm:sqref>B2:B11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FD0E-D3ED-4222-8D28-87066F211E84}">
  <dimension ref="A1:C6"/>
  <sheetViews>
    <sheetView workbookViewId="0">
      <selection activeCell="C23" sqref="C23"/>
    </sheetView>
  </sheetViews>
  <sheetFormatPr defaultRowHeight="15" x14ac:dyDescent="0.25"/>
  <cols>
    <col min="1" max="1" width="9.140625" bestFit="1" customWidth="1"/>
    <col min="2" max="2" width="16" style="1" bestFit="1" customWidth="1"/>
    <col min="3" max="3" width="14.140625" bestFit="1" customWidth="1"/>
  </cols>
  <sheetData>
    <row r="1" spans="1:3" x14ac:dyDescent="0.25">
      <c r="A1" t="s">
        <v>26</v>
      </c>
      <c r="B1" s="1" t="s">
        <v>2</v>
      </c>
      <c r="C1" t="s">
        <v>27</v>
      </c>
    </row>
    <row r="2" spans="1:3" x14ac:dyDescent="0.25">
      <c r="A2" s="4" t="s">
        <v>28</v>
      </c>
      <c r="B2" s="17">
        <v>13470190.710000001</v>
      </c>
      <c r="C2" s="17">
        <v>43988</v>
      </c>
    </row>
    <row r="3" spans="1:3" x14ac:dyDescent="0.25">
      <c r="A3" s="4" t="s">
        <v>29</v>
      </c>
      <c r="B3" s="17">
        <v>8607870.0099999998</v>
      </c>
      <c r="C3" s="17">
        <v>28228</v>
      </c>
    </row>
    <row r="4" spans="1:3" x14ac:dyDescent="0.25">
      <c r="A4" s="4" t="s">
        <v>30</v>
      </c>
      <c r="B4" s="17">
        <v>7308515.1799999997</v>
      </c>
      <c r="C4" s="17">
        <v>23918</v>
      </c>
    </row>
    <row r="5" spans="1:3" x14ac:dyDescent="0.25">
      <c r="A5" s="4" t="s">
        <v>31</v>
      </c>
      <c r="B5" s="17">
        <v>4886307.45</v>
      </c>
      <c r="C5" s="17">
        <v>15836</v>
      </c>
    </row>
    <row r="6" spans="1:3" x14ac:dyDescent="0.25">
      <c r="A6" s="4" t="s">
        <v>32</v>
      </c>
      <c r="B6" s="17">
        <v>2459921.1800000002</v>
      </c>
      <c r="C6" s="17">
        <v>8030</v>
      </c>
    </row>
  </sheetData>
  <phoneticPr fontId="1"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73C08-9847-41BE-9139-CF599A78DF37}">
  <dimension ref="A1:G22"/>
  <sheetViews>
    <sheetView zoomScale="130" zoomScaleNormal="130" workbookViewId="0">
      <selection activeCell="E20" sqref="E20"/>
    </sheetView>
  </sheetViews>
  <sheetFormatPr defaultRowHeight="15" x14ac:dyDescent="0.25"/>
  <cols>
    <col min="1" max="1" width="18.7109375" bestFit="1" customWidth="1"/>
    <col min="2" max="2" width="24" bestFit="1" customWidth="1"/>
    <col min="3" max="3" width="22" bestFit="1" customWidth="1"/>
    <col min="4" max="4" width="15.7109375" bestFit="1" customWidth="1"/>
    <col min="5" max="5" width="13.140625" bestFit="1" customWidth="1"/>
    <col min="6" max="6" width="17" bestFit="1" customWidth="1"/>
    <col min="7" max="7" width="21" bestFit="1" customWidth="1"/>
    <col min="8" max="8" width="11.28515625" bestFit="1" customWidth="1"/>
    <col min="9" max="9" width="19.5703125" bestFit="1" customWidth="1"/>
    <col min="10" max="10" width="11.28515625" bestFit="1" customWidth="1"/>
    <col min="11" max="11" width="13.85546875" bestFit="1" customWidth="1"/>
    <col min="12" max="12" width="11.28515625" bestFit="1" customWidth="1"/>
    <col min="13" max="13" width="13.140625" bestFit="1" customWidth="1"/>
    <col min="14" max="14" width="16.28515625" bestFit="1" customWidth="1"/>
    <col min="15" max="15" width="2.140625" bestFit="1" customWidth="1"/>
    <col min="16" max="16" width="3.28515625" bestFit="1" customWidth="1"/>
    <col min="17" max="17" width="7" bestFit="1" customWidth="1"/>
    <col min="18" max="18" width="4.7109375" bestFit="1" customWidth="1"/>
    <col min="19" max="19" width="7" bestFit="1" customWidth="1"/>
    <col min="20" max="20" width="4.7109375" bestFit="1" customWidth="1"/>
    <col min="21" max="21" width="7" bestFit="1" customWidth="1"/>
    <col min="22" max="22" width="4.7109375" bestFit="1" customWidth="1"/>
    <col min="23" max="23" width="7" bestFit="1" customWidth="1"/>
    <col min="24" max="24" width="11.28515625" bestFit="1" customWidth="1"/>
  </cols>
  <sheetData>
    <row r="1" spans="1:7" x14ac:dyDescent="0.25">
      <c r="A1" t="s">
        <v>26</v>
      </c>
      <c r="B1" t="s">
        <v>15</v>
      </c>
      <c r="C1" t="s">
        <v>33</v>
      </c>
      <c r="D1" t="s">
        <v>34</v>
      </c>
      <c r="E1" t="s">
        <v>46</v>
      </c>
      <c r="G1" s="2" t="s">
        <v>49</v>
      </c>
    </row>
    <row r="2" spans="1:7" x14ac:dyDescent="0.25">
      <c r="A2" t="s">
        <v>30</v>
      </c>
      <c r="B2" t="s">
        <v>16</v>
      </c>
      <c r="C2">
        <v>8</v>
      </c>
      <c r="D2">
        <v>1</v>
      </c>
      <c r="E2" t="str">
        <f>IF(Top_Product_per_Region[[#This Row],[revenue_rank]]=1, "Revenue", IF(Top_Product_per_Region[[#This Row],[count_rank]] = 1, "Orders"))</f>
        <v>Revenue</v>
      </c>
      <c r="G2" t="s">
        <v>20</v>
      </c>
    </row>
    <row r="3" spans="1:7" x14ac:dyDescent="0.25">
      <c r="A3" t="s">
        <v>30</v>
      </c>
      <c r="B3" t="s">
        <v>25</v>
      </c>
      <c r="C3">
        <v>1</v>
      </c>
      <c r="D3">
        <v>10</v>
      </c>
      <c r="E3" t="str">
        <f>IF(Top_Product_per_Region[[#This Row],[revenue_rank]]=1, "Revenue", IF(Top_Product_per_Region[[#This Row],[count_rank]] = 1, "Orders"))</f>
        <v>Orders</v>
      </c>
      <c r="G3" t="s">
        <v>17</v>
      </c>
    </row>
    <row r="4" spans="1:7" x14ac:dyDescent="0.25">
      <c r="A4" t="s">
        <v>29</v>
      </c>
      <c r="B4" t="s">
        <v>16</v>
      </c>
      <c r="C4">
        <v>8</v>
      </c>
      <c r="D4">
        <v>1</v>
      </c>
      <c r="E4" t="str">
        <f>IF(Top_Product_per_Region[[#This Row],[revenue_rank]]=1, "Revenue", IF(Top_Product_per_Region[[#This Row],[count_rank]] = 1, "Orders"))</f>
        <v>Revenue</v>
      </c>
      <c r="G4" t="s">
        <v>16</v>
      </c>
    </row>
    <row r="5" spans="1:7" x14ac:dyDescent="0.25">
      <c r="A5" t="s">
        <v>29</v>
      </c>
      <c r="B5" t="s">
        <v>25</v>
      </c>
      <c r="C5">
        <v>1</v>
      </c>
      <c r="D5">
        <v>10</v>
      </c>
      <c r="E5" t="str">
        <f>IF(Top_Product_per_Region[[#This Row],[revenue_rank]]=1, "Revenue", IF(Top_Product_per_Region[[#This Row],[count_rank]] = 1, "Orders"))</f>
        <v>Orders</v>
      </c>
      <c r="G5" t="s">
        <v>22</v>
      </c>
    </row>
    <row r="6" spans="1:7" x14ac:dyDescent="0.25">
      <c r="A6" t="s">
        <v>31</v>
      </c>
      <c r="B6" t="s">
        <v>16</v>
      </c>
      <c r="C6">
        <v>2</v>
      </c>
      <c r="D6">
        <v>1</v>
      </c>
      <c r="E6" t="str">
        <f>IF(Top_Product_per_Region[[#This Row],[revenue_rank]]=1, "Revenue", IF(Top_Product_per_Region[[#This Row],[count_rank]] = 1, "Orders"))</f>
        <v>Revenue</v>
      </c>
      <c r="G6" t="s">
        <v>24</v>
      </c>
    </row>
    <row r="7" spans="1:7" x14ac:dyDescent="0.25">
      <c r="A7" t="s">
        <v>31</v>
      </c>
      <c r="B7" t="s">
        <v>18</v>
      </c>
      <c r="C7">
        <v>1</v>
      </c>
      <c r="D7">
        <v>3</v>
      </c>
      <c r="E7" t="str">
        <f>IF(Top_Product_per_Region[[#This Row],[revenue_rank]]=1, "Revenue", IF(Top_Product_per_Region[[#This Row],[count_rank]] = 1, "Orders"))</f>
        <v>Orders</v>
      </c>
      <c r="G7" t="s">
        <v>23</v>
      </c>
    </row>
    <row r="8" spans="1:7" x14ac:dyDescent="0.25">
      <c r="A8" t="s">
        <v>28</v>
      </c>
      <c r="B8" t="s">
        <v>16</v>
      </c>
      <c r="C8">
        <v>8</v>
      </c>
      <c r="D8">
        <v>1</v>
      </c>
      <c r="E8" t="str">
        <f>IF(Top_Product_per_Region[[#This Row],[revenue_rank]]=1, "Revenue", IF(Top_Product_per_Region[[#This Row],[count_rank]] = 1, "Orders"))</f>
        <v>Revenue</v>
      </c>
      <c r="G8" t="s">
        <v>18</v>
      </c>
    </row>
    <row r="9" spans="1:7" x14ac:dyDescent="0.25">
      <c r="A9" t="s">
        <v>28</v>
      </c>
      <c r="B9" t="s">
        <v>20</v>
      </c>
      <c r="C9">
        <v>1</v>
      </c>
      <c r="D9">
        <v>4</v>
      </c>
      <c r="E9" t="str">
        <f>IF(Top_Product_per_Region[[#This Row],[revenue_rank]]=1, "Revenue", IF(Top_Product_per_Region[[#This Row],[count_rank]] = 1, "Orders"))</f>
        <v>Orders</v>
      </c>
      <c r="G9" t="s">
        <v>25</v>
      </c>
    </row>
    <row r="10" spans="1:7" x14ac:dyDescent="0.25">
      <c r="A10" t="s">
        <v>32</v>
      </c>
      <c r="B10" t="s">
        <v>16</v>
      </c>
      <c r="C10">
        <v>6</v>
      </c>
      <c r="D10">
        <v>1</v>
      </c>
      <c r="E10" t="str">
        <f>IF(Top_Product_per_Region[[#This Row],[revenue_rank]]=1, "Revenue", IF(Top_Product_per_Region[[#This Row],[count_rank]] = 1, "Orders"))</f>
        <v>Revenue</v>
      </c>
      <c r="G10" t="s">
        <v>21</v>
      </c>
    </row>
    <row r="11" spans="1:7" x14ac:dyDescent="0.25">
      <c r="A11" t="s">
        <v>32</v>
      </c>
      <c r="B11" t="s">
        <v>25</v>
      </c>
      <c r="C11">
        <v>1</v>
      </c>
      <c r="D11">
        <v>10</v>
      </c>
      <c r="E11" t="str">
        <f>IF(Top_Product_per_Region[[#This Row],[revenue_rank]]=1, "Revenue", IF(Top_Product_per_Region[[#This Row],[count_rank]] = 1, "Orders"))</f>
        <v>Orders</v>
      </c>
      <c r="G11" t="s">
        <v>19</v>
      </c>
    </row>
    <row r="14" spans="1:7" x14ac:dyDescent="0.25">
      <c r="A14" s="3" t="s">
        <v>50</v>
      </c>
    </row>
    <row r="15" spans="1:7" x14ac:dyDescent="0.25">
      <c r="A15" s="4" t="s">
        <v>25</v>
      </c>
    </row>
    <row r="17" spans="1:3" x14ac:dyDescent="0.25">
      <c r="A17" t="s">
        <v>45</v>
      </c>
      <c r="B17" t="s">
        <v>47</v>
      </c>
      <c r="C17" t="s">
        <v>48</v>
      </c>
    </row>
    <row r="18" spans="1:3" x14ac:dyDescent="0.25">
      <c r="A18" s="2" t="s">
        <v>30</v>
      </c>
      <c r="B18" t="s">
        <v>16</v>
      </c>
      <c r="C18" t="s">
        <v>25</v>
      </c>
    </row>
    <row r="19" spans="1:3" x14ac:dyDescent="0.25">
      <c r="A19" s="2" t="s">
        <v>29</v>
      </c>
      <c r="B19" t="s">
        <v>16</v>
      </c>
      <c r="C19" t="s">
        <v>25</v>
      </c>
    </row>
    <row r="20" spans="1:3" x14ac:dyDescent="0.25">
      <c r="A20" s="2" t="s">
        <v>31</v>
      </c>
      <c r="B20" t="s">
        <v>16</v>
      </c>
      <c r="C20" t="s">
        <v>18</v>
      </c>
    </row>
    <row r="21" spans="1:3" x14ac:dyDescent="0.25">
      <c r="A21" s="2" t="s">
        <v>28</v>
      </c>
      <c r="B21" t="s">
        <v>16</v>
      </c>
      <c r="C21" t="s">
        <v>20</v>
      </c>
    </row>
    <row r="22" spans="1:3" x14ac:dyDescent="0.25">
      <c r="A22" s="2" t="s">
        <v>32</v>
      </c>
      <c r="B22" t="s">
        <v>16</v>
      </c>
      <c r="C22" t="s">
        <v>25</v>
      </c>
    </row>
  </sheetData>
  <phoneticPr fontId="1" type="noConversion"/>
  <conditionalFormatting sqref="A15">
    <cfRule type="cellIs" dxfId="27" priority="1" operator="equal">
      <formula>""""""</formula>
    </cfRule>
  </conditionalFormatting>
  <conditionalFormatting sqref="A18:C22">
    <cfRule type="cellIs" dxfId="26" priority="2" operator="equal">
      <formula>$A$15</formula>
    </cfRule>
  </conditionalFormatting>
  <dataValidations count="1">
    <dataValidation type="list" allowBlank="1" showInputMessage="1" showErrorMessage="1" sqref="A15" xr:uid="{418672F2-D079-4DE2-993E-319B410A1CC8}">
      <formula1>$G$2:$G$11</formula1>
    </dataValidation>
  </dataValidations>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26A6E-D595-4D58-AF8F-B635D9E64A29}">
  <dimension ref="A1:B6"/>
  <sheetViews>
    <sheetView workbookViewId="0">
      <selection activeCell="D3" sqref="D3"/>
    </sheetView>
  </sheetViews>
  <sheetFormatPr defaultRowHeight="15" x14ac:dyDescent="0.25"/>
  <cols>
    <col min="1" max="1" width="9.42578125" bestFit="1" customWidth="1"/>
    <col min="2" max="2" width="16" bestFit="1" customWidth="1"/>
  </cols>
  <sheetData>
    <row r="1" spans="1:2" x14ac:dyDescent="0.25">
      <c r="A1" t="s">
        <v>35</v>
      </c>
      <c r="B1" t="s">
        <v>2</v>
      </c>
    </row>
    <row r="2" spans="1:2" x14ac:dyDescent="0.25">
      <c r="A2" s="4" t="s">
        <v>36</v>
      </c>
      <c r="B2" s="17">
        <v>11598224.23</v>
      </c>
    </row>
    <row r="3" spans="1:2" x14ac:dyDescent="0.25">
      <c r="A3" s="4" t="s">
        <v>37</v>
      </c>
      <c r="B3" s="17">
        <v>8424754.3699999992</v>
      </c>
    </row>
    <row r="4" spans="1:2" x14ac:dyDescent="0.25">
      <c r="A4" s="4" t="s">
        <v>38</v>
      </c>
      <c r="B4" s="17">
        <v>7424915.2699999996</v>
      </c>
    </row>
    <row r="5" spans="1:2" x14ac:dyDescent="0.25">
      <c r="A5" s="4" t="s">
        <v>39</v>
      </c>
      <c r="B5" s="17">
        <v>4844534.67</v>
      </c>
    </row>
    <row r="6" spans="1:2" x14ac:dyDescent="0.25">
      <c r="A6" s="4" t="s">
        <v>40</v>
      </c>
      <c r="B6" s="17">
        <v>4440375.99</v>
      </c>
    </row>
  </sheetData>
  <phoneticPr fontId="1"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4FA94-72BE-4073-AF47-0F8AE1824E2B}">
  <dimension ref="A1:G38"/>
  <sheetViews>
    <sheetView workbookViewId="0">
      <selection activeCell="D24" sqref="D24"/>
    </sheetView>
  </sheetViews>
  <sheetFormatPr defaultRowHeight="15" x14ac:dyDescent="0.25"/>
  <cols>
    <col min="1" max="1" width="9.140625" bestFit="1" customWidth="1"/>
    <col min="2" max="2" width="11.28515625" bestFit="1" customWidth="1"/>
    <col min="3" max="3" width="17.85546875" bestFit="1" customWidth="1"/>
    <col min="4" max="4" width="18.7109375" bestFit="1" customWidth="1"/>
    <col min="5" max="5" width="19.85546875" style="5" bestFit="1" customWidth="1"/>
    <col min="6" max="6" width="22.28515625" bestFit="1" customWidth="1"/>
    <col min="7" max="13" width="14.140625" bestFit="1" customWidth="1"/>
    <col min="14" max="14" width="11.28515625" bestFit="1" customWidth="1"/>
  </cols>
  <sheetData>
    <row r="1" spans="1:7" ht="15.75" thickBot="1" x14ac:dyDescent="0.3">
      <c r="A1" s="6" t="s">
        <v>26</v>
      </c>
      <c r="B1" s="6" t="s">
        <v>56</v>
      </c>
      <c r="C1" s="6" t="s">
        <v>57</v>
      </c>
      <c r="D1" s="6" t="s">
        <v>27</v>
      </c>
      <c r="E1" s="5" t="s">
        <v>51</v>
      </c>
      <c r="F1" s="6" t="s">
        <v>58</v>
      </c>
      <c r="G1" s="6" t="s">
        <v>55</v>
      </c>
    </row>
    <row r="2" spans="1:7" x14ac:dyDescent="0.25">
      <c r="A2" s="27" t="s">
        <v>28</v>
      </c>
      <c r="B2" s="39" t="s">
        <v>59</v>
      </c>
      <c r="C2" s="29">
        <v>6723</v>
      </c>
      <c r="D2" s="29">
        <v>11044</v>
      </c>
      <c r="E2" s="30">
        <v>3358998.45</v>
      </c>
      <c r="F2" s="29">
        <v>523</v>
      </c>
      <c r="G2" s="31">
        <v>4.74</v>
      </c>
    </row>
    <row r="3" spans="1:7" x14ac:dyDescent="0.25">
      <c r="A3" s="32" t="s">
        <v>29</v>
      </c>
      <c r="B3" s="25" t="s">
        <v>59</v>
      </c>
      <c r="C3" s="11">
        <v>4993</v>
      </c>
      <c r="D3" s="11">
        <v>6968</v>
      </c>
      <c r="E3" s="17">
        <v>2101534.12</v>
      </c>
      <c r="F3" s="11">
        <v>378</v>
      </c>
      <c r="G3" s="33">
        <v>5.42</v>
      </c>
    </row>
    <row r="4" spans="1:7" x14ac:dyDescent="0.25">
      <c r="A4" s="32" t="s">
        <v>30</v>
      </c>
      <c r="B4" s="25" t="s">
        <v>59</v>
      </c>
      <c r="C4" s="11">
        <v>4584</v>
      </c>
      <c r="D4" s="11">
        <v>6103</v>
      </c>
      <c r="E4" s="17">
        <v>1862472.53</v>
      </c>
      <c r="F4" s="11">
        <v>316</v>
      </c>
      <c r="G4" s="33">
        <v>5.18</v>
      </c>
    </row>
    <row r="5" spans="1:7" x14ac:dyDescent="0.25">
      <c r="A5" s="32" t="s">
        <v>31</v>
      </c>
      <c r="B5" s="25" t="s">
        <v>59</v>
      </c>
      <c r="C5" s="11">
        <v>3270</v>
      </c>
      <c r="D5" s="11">
        <v>3941</v>
      </c>
      <c r="E5" s="17">
        <v>1224429.6000000001</v>
      </c>
      <c r="F5" s="11">
        <v>198</v>
      </c>
      <c r="G5" s="33">
        <v>5.0199999999999996</v>
      </c>
    </row>
    <row r="6" spans="1:7" ht="15.75" thickBot="1" x14ac:dyDescent="0.3">
      <c r="A6" s="34" t="s">
        <v>32</v>
      </c>
      <c r="B6" s="40" t="s">
        <v>59</v>
      </c>
      <c r="C6" s="36">
        <v>1845</v>
      </c>
      <c r="D6" s="36">
        <v>2035</v>
      </c>
      <c r="E6" s="37">
        <v>611812.73</v>
      </c>
      <c r="F6" s="36">
        <v>118</v>
      </c>
      <c r="G6" s="38">
        <v>5.8</v>
      </c>
    </row>
    <row r="7" spans="1:7" x14ac:dyDescent="0.25">
      <c r="A7" s="27" t="s">
        <v>28</v>
      </c>
      <c r="B7" s="28" t="s">
        <v>60</v>
      </c>
      <c r="C7" s="29">
        <v>9637</v>
      </c>
      <c r="D7" s="29">
        <v>32944</v>
      </c>
      <c r="E7" s="30">
        <v>10111192.26</v>
      </c>
      <c r="F7" s="29">
        <v>1661</v>
      </c>
      <c r="G7" s="31">
        <v>5.04</v>
      </c>
    </row>
    <row r="8" spans="1:7" x14ac:dyDescent="0.25">
      <c r="A8" s="32" t="s">
        <v>29</v>
      </c>
      <c r="B8" s="26" t="s">
        <v>60</v>
      </c>
      <c r="C8" s="11">
        <v>8814</v>
      </c>
      <c r="D8" s="11">
        <v>21260</v>
      </c>
      <c r="E8" s="17">
        <v>6506335.8899999997</v>
      </c>
      <c r="F8" s="11">
        <v>1119</v>
      </c>
      <c r="G8" s="33">
        <v>5.26</v>
      </c>
    </row>
    <row r="9" spans="1:7" x14ac:dyDescent="0.25">
      <c r="A9" s="32" t="s">
        <v>30</v>
      </c>
      <c r="B9" s="26" t="s">
        <v>60</v>
      </c>
      <c r="C9" s="11">
        <v>8271</v>
      </c>
      <c r="D9" s="11">
        <v>17815</v>
      </c>
      <c r="E9" s="17">
        <v>5446042.6500000004</v>
      </c>
      <c r="F9" s="11">
        <v>885</v>
      </c>
      <c r="G9" s="33">
        <v>4.97</v>
      </c>
    </row>
    <row r="10" spans="1:7" x14ac:dyDescent="0.25">
      <c r="A10" s="32" t="s">
        <v>31</v>
      </c>
      <c r="B10" s="26" t="s">
        <v>60</v>
      </c>
      <c r="C10" s="11">
        <v>6997</v>
      </c>
      <c r="D10" s="11">
        <v>11895</v>
      </c>
      <c r="E10" s="17">
        <v>3661877.85</v>
      </c>
      <c r="F10" s="11">
        <v>616</v>
      </c>
      <c r="G10" s="33">
        <v>5.18</v>
      </c>
    </row>
    <row r="11" spans="1:7" ht="15.75" thickBot="1" x14ac:dyDescent="0.3">
      <c r="A11" s="34" t="s">
        <v>32</v>
      </c>
      <c r="B11" s="35" t="s">
        <v>60</v>
      </c>
      <c r="C11" s="36">
        <v>4500</v>
      </c>
      <c r="D11" s="36">
        <v>5995</v>
      </c>
      <c r="E11" s="37">
        <v>1848108.45</v>
      </c>
      <c r="F11" s="36">
        <v>302</v>
      </c>
      <c r="G11" s="38">
        <v>5.04</v>
      </c>
    </row>
    <row r="21" spans="5:5" x14ac:dyDescent="0.25">
      <c r="E21"/>
    </row>
    <row r="22" spans="5:5" x14ac:dyDescent="0.25">
      <c r="E22"/>
    </row>
    <row r="23" spans="5:5" x14ac:dyDescent="0.25">
      <c r="E23"/>
    </row>
    <row r="24" spans="5:5" x14ac:dyDescent="0.25">
      <c r="E24"/>
    </row>
    <row r="25" spans="5:5" x14ac:dyDescent="0.25">
      <c r="E25"/>
    </row>
    <row r="26" spans="5:5" x14ac:dyDescent="0.25">
      <c r="E26"/>
    </row>
    <row r="27" spans="5:5" x14ac:dyDescent="0.25">
      <c r="E27"/>
    </row>
    <row r="28" spans="5:5" x14ac:dyDescent="0.25">
      <c r="E28"/>
    </row>
    <row r="29" spans="5:5" x14ac:dyDescent="0.25">
      <c r="E29"/>
    </row>
    <row r="30" spans="5:5" x14ac:dyDescent="0.25">
      <c r="E30"/>
    </row>
    <row r="31" spans="5:5" x14ac:dyDescent="0.25">
      <c r="E31"/>
    </row>
    <row r="32" spans="5:5" x14ac:dyDescent="0.25">
      <c r="E32"/>
    </row>
    <row r="33" spans="5:5" x14ac:dyDescent="0.25">
      <c r="E33"/>
    </row>
    <row r="34" spans="5:5" x14ac:dyDescent="0.25">
      <c r="E34"/>
    </row>
    <row r="35" spans="5:5" x14ac:dyDescent="0.25">
      <c r="E35"/>
    </row>
    <row r="36" spans="5:5" x14ac:dyDescent="0.25">
      <c r="E36"/>
    </row>
    <row r="37" spans="5:5" x14ac:dyDescent="0.25">
      <c r="E37"/>
    </row>
    <row r="38" spans="5:5" x14ac:dyDescent="0.25">
      <c r="E38"/>
    </row>
  </sheetData>
  <phoneticPr fontId="1" type="noConversion"/>
  <conditionalFormatting sqref="F2:F11">
    <cfRule type="colorScale" priority="6">
      <colorScale>
        <cfvo type="min"/>
        <cfvo type="percentile" val="50"/>
        <cfvo type="max"/>
        <color rgb="FFF8696B"/>
        <color rgb="FFFFEB84"/>
        <color rgb="FF63BE7B"/>
      </colorScale>
    </cfRule>
  </conditionalFormatting>
  <conditionalFormatting sqref="E2:E6">
    <cfRule type="dataBar" priority="4">
      <dataBar>
        <cfvo type="min"/>
        <cfvo type="max"/>
        <color rgb="FF638EC6"/>
      </dataBar>
      <extLst>
        <ext xmlns:x14="http://schemas.microsoft.com/office/spreadsheetml/2009/9/main" uri="{B025F937-C7B1-47D3-B67F-A62EFF666E3E}">
          <x14:id>{CBDA8F92-0F2B-4346-8FEC-EB922E713705}</x14:id>
        </ext>
      </extLst>
    </cfRule>
  </conditionalFormatting>
  <conditionalFormatting sqref="E7:E11">
    <cfRule type="dataBar" priority="3">
      <dataBar>
        <cfvo type="min"/>
        <cfvo type="max"/>
        <color rgb="FFFFB628"/>
      </dataBar>
      <extLst>
        <ext xmlns:x14="http://schemas.microsoft.com/office/spreadsheetml/2009/9/main" uri="{B025F937-C7B1-47D3-B67F-A62EFF666E3E}">
          <x14:id>{4587A563-FC2C-4FA7-9C5A-800D0795FE00}</x14:id>
        </ext>
      </extLst>
    </cfRule>
  </conditionalFormatting>
  <conditionalFormatting sqref="D7:D11">
    <cfRule type="colorScale" priority="2">
      <colorScale>
        <cfvo type="min"/>
        <cfvo type="percentile" val="50"/>
        <cfvo type="max"/>
        <color rgb="FFF8696B"/>
        <color rgb="FFFFEB84"/>
        <color rgb="FF63BE7B"/>
      </colorScale>
    </cfRule>
  </conditionalFormatting>
  <conditionalFormatting sqref="D2:D6">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BDA8F92-0F2B-4346-8FEC-EB922E713705}">
            <x14:dataBar minLength="0" maxLength="100" border="1" negativeBarBorderColorSameAsPositive="0">
              <x14:cfvo type="autoMin"/>
              <x14:cfvo type="autoMax"/>
              <x14:borderColor rgb="FF638EC6"/>
              <x14:negativeFillColor rgb="FFFF0000"/>
              <x14:negativeBorderColor rgb="FFFF0000"/>
              <x14:axisColor rgb="FF000000"/>
            </x14:dataBar>
          </x14:cfRule>
          <xm:sqref>E2:E6</xm:sqref>
        </x14:conditionalFormatting>
        <x14:conditionalFormatting xmlns:xm="http://schemas.microsoft.com/office/excel/2006/main">
          <x14:cfRule type="dataBar" id="{4587A563-FC2C-4FA7-9C5A-800D0795FE00}">
            <x14:dataBar minLength="0" maxLength="100" border="1" negativeBarBorderColorSameAsPositive="0">
              <x14:cfvo type="autoMin"/>
              <x14:cfvo type="autoMax"/>
              <x14:borderColor rgb="FFFFB628"/>
              <x14:negativeFillColor rgb="FFFF0000"/>
              <x14:negativeBorderColor rgb="FFFF0000"/>
              <x14:axisColor rgb="FF000000"/>
            </x14:dataBar>
          </x14:cfRule>
          <xm:sqref>E7:E11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6524-124C-477F-AAD9-88950D866EDA}">
  <dimension ref="A1:C6"/>
  <sheetViews>
    <sheetView workbookViewId="0">
      <selection activeCell="B16" sqref="B16"/>
    </sheetView>
  </sheetViews>
  <sheetFormatPr defaultRowHeight="15" x14ac:dyDescent="0.25"/>
  <cols>
    <col min="1" max="1" width="9.140625" bestFit="1" customWidth="1"/>
    <col min="2" max="2" width="15.42578125" bestFit="1" customWidth="1"/>
    <col min="3" max="3" width="21.28515625" bestFit="1" customWidth="1"/>
  </cols>
  <sheetData>
    <row r="1" spans="1:3" x14ac:dyDescent="0.25">
      <c r="A1" t="s">
        <v>26</v>
      </c>
      <c r="B1" t="s">
        <v>41</v>
      </c>
      <c r="C1" t="s">
        <v>44</v>
      </c>
    </row>
    <row r="2" spans="1:3" x14ac:dyDescent="0.25">
      <c r="A2" s="4" t="s">
        <v>28</v>
      </c>
      <c r="B2" s="4">
        <v>2184</v>
      </c>
      <c r="C2" s="4">
        <v>4.96</v>
      </c>
    </row>
    <row r="3" spans="1:3" x14ac:dyDescent="0.25">
      <c r="A3" s="4" t="s">
        <v>29</v>
      </c>
      <c r="B3" s="4">
        <v>1497</v>
      </c>
      <c r="C3" s="4">
        <v>5.3</v>
      </c>
    </row>
    <row r="4" spans="1:3" x14ac:dyDescent="0.25">
      <c r="A4" s="4" t="s">
        <v>30</v>
      </c>
      <c r="B4" s="4">
        <v>1201</v>
      </c>
      <c r="C4" s="4">
        <v>5.0199999999999996</v>
      </c>
    </row>
    <row r="5" spans="1:3" x14ac:dyDescent="0.25">
      <c r="A5" s="4" t="s">
        <v>31</v>
      </c>
      <c r="B5" s="4">
        <v>814</v>
      </c>
      <c r="C5" s="4">
        <v>5.14</v>
      </c>
    </row>
    <row r="6" spans="1:3" x14ac:dyDescent="0.25">
      <c r="A6" s="4" t="s">
        <v>32</v>
      </c>
      <c r="B6" s="4">
        <v>420</v>
      </c>
      <c r="C6" s="4">
        <v>5.23</v>
      </c>
    </row>
  </sheetData>
  <phoneticPr fontId="1" type="noConversion"/>
  <pageMargins left="0.7" right="0.7" top="0.75" bottom="0.75" header="0.3" footer="0.3"/>
  <pageSetup orientation="portrait" verticalDpi="0"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91EB3-CF79-4D18-84E5-C936BDB11E2E}">
  <dimension ref="A1:B2"/>
  <sheetViews>
    <sheetView workbookViewId="0">
      <selection activeCell="F12" sqref="F12"/>
    </sheetView>
  </sheetViews>
  <sheetFormatPr defaultRowHeight="15" x14ac:dyDescent="0.25"/>
  <cols>
    <col min="1" max="1" width="16.140625" bestFit="1" customWidth="1"/>
    <col min="2" max="2" width="19.85546875" bestFit="1" customWidth="1"/>
  </cols>
  <sheetData>
    <row r="1" spans="1:2" x14ac:dyDescent="0.25">
      <c r="A1" t="s">
        <v>42</v>
      </c>
      <c r="B1" t="s">
        <v>43</v>
      </c>
    </row>
    <row r="2" spans="1:2" x14ac:dyDescent="0.25">
      <c r="A2" s="4">
        <v>2</v>
      </c>
      <c r="B2" s="4">
        <v>3</v>
      </c>
    </row>
  </sheetData>
  <phoneticPr fontId="1" type="noConversion"/>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9F13E0-4581-4E29-8396-74057587F5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Revenue Trend</vt:lpstr>
      <vt:lpstr>Revenue by Product</vt:lpstr>
      <vt:lpstr>Product performance summary</vt:lpstr>
      <vt:lpstr>Revenue by Region</vt:lpstr>
      <vt:lpstr>Top Product per Region</vt:lpstr>
      <vt:lpstr>Seasonal Revenue Summary</vt:lpstr>
      <vt:lpstr>Region and Loyalty Agg</vt:lpstr>
      <vt:lpstr>Refund Rate by Region</vt:lpstr>
      <vt:lpstr>Avg Shipping &amp; Delivery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 Venetis</dc:creator>
  <cp:lastModifiedBy>Peri Venetis</cp:lastModifiedBy>
  <dcterms:created xsi:type="dcterms:W3CDTF">2015-06-05T18:17:20Z</dcterms:created>
  <dcterms:modified xsi:type="dcterms:W3CDTF">2025-11-06T21:06:34Z</dcterms:modified>
</cp:coreProperties>
</file>